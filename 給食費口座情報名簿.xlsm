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12" codeName="{6FAF9771-9DB2-4A1A-D8F3-B0B0F40AE56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zuki/workspace/AccountTransferRequestFormsToFinancialInstitutions/"/>
    </mc:Choice>
  </mc:AlternateContent>
  <xr:revisionPtr revIDLastSave="0" documentId="13_ncr:1_{DEB13C0A-A050-9A4D-8A6B-41596578FECB}" xr6:coauthVersionLast="47" xr6:coauthVersionMax="47" xr10:uidLastSave="{00000000-0000-0000-0000-000000000000}"/>
  <bookViews>
    <workbookView xWindow="0" yWindow="880" windowWidth="17640" windowHeight="11480" activeTab="3" xr2:uid="{00000000-000D-0000-FFFF-FFFF00000000}"/>
  </bookViews>
  <sheets>
    <sheet name="笈川" sheetId="1" r:id="rId1"/>
    <sheet name="勝常" sheetId="2" r:id="rId2"/>
    <sheet name="湯川中" sheetId="3" r:id="rId3"/>
    <sheet name="マクロ" sheetId="7" r:id="rId4"/>
    <sheet name="東邦銀行_支店情報" sheetId="5" r:id="rId5"/>
    <sheet name="JAよつば_支店情報" sheetId="6" r:id="rId6"/>
    <sheet name="ダミー作成用" sheetId="4" r:id="rId7"/>
  </sheets>
  <definedNames>
    <definedName name="_xlnm._FilterDatabase" localSheetId="6" hidden="1">ダミー作成用!$B$1:$K$89</definedName>
    <definedName name="_xlnm._FilterDatabase" localSheetId="1" hidden="1">勝常!$A$1:$F$74</definedName>
    <definedName name="_xlnm._FilterDatabase" localSheetId="2" hidden="1">湯川中!$A$1:$F$79</definedName>
    <definedName name="_xlnm._FilterDatabase" localSheetId="0" hidden="1">笈川!$A$1:$F$89</definedName>
    <definedName name="_xlnm.Print_Area" localSheetId="1">勝常!$A$1:$K$74</definedName>
    <definedName name="_xlnm.Print_Area" localSheetId="2">湯川中!$A$1:$K$79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2" i="4"/>
  <c r="N46" i="1" l="1"/>
  <c r="N47" i="1"/>
  <c r="N48" i="1"/>
  <c r="M1" i="1" l="1"/>
</calcChain>
</file>

<file path=xl/sharedStrings.xml><?xml version="1.0" encoding="utf-8"?>
<sst xmlns="http://schemas.openxmlformats.org/spreadsheetml/2006/main" count="2247" uniqueCount="561">
  <si>
    <t>No.</t>
    <phoneticPr fontId="2"/>
  </si>
  <si>
    <t>学年</t>
    <rPh sb="0" eb="2">
      <t>ガクネン</t>
    </rPh>
    <phoneticPr fontId="2"/>
  </si>
  <si>
    <t>児童生徒氏名</t>
    <rPh sb="0" eb="2">
      <t>ジドウ</t>
    </rPh>
    <rPh sb="2" eb="4">
      <t>セイト</t>
    </rPh>
    <rPh sb="4" eb="6">
      <t>シメイ</t>
    </rPh>
    <phoneticPr fontId="2"/>
  </si>
  <si>
    <t>父親</t>
    <rPh sb="0" eb="2">
      <t>チチオヤ</t>
    </rPh>
    <phoneticPr fontId="2"/>
  </si>
  <si>
    <t>母親</t>
    <rPh sb="0" eb="2">
      <t>ハハオヤ</t>
    </rPh>
    <phoneticPr fontId="2"/>
  </si>
  <si>
    <t>金融機関</t>
    <rPh sb="0" eb="2">
      <t>キンユウ</t>
    </rPh>
    <rPh sb="2" eb="4">
      <t>キカン</t>
    </rPh>
    <phoneticPr fontId="2"/>
  </si>
  <si>
    <t>口座名義</t>
    <rPh sb="0" eb="2">
      <t>コウザ</t>
    </rPh>
    <rPh sb="2" eb="4">
      <t>メイギ</t>
    </rPh>
    <phoneticPr fontId="2"/>
  </si>
  <si>
    <t>支店名</t>
    <rPh sb="0" eb="2">
      <t>シテン</t>
    </rPh>
    <rPh sb="2" eb="3">
      <t>メイ</t>
    </rPh>
    <phoneticPr fontId="2"/>
  </si>
  <si>
    <t>口座番号</t>
    <rPh sb="0" eb="2">
      <t>コウザ</t>
    </rPh>
    <rPh sb="2" eb="4">
      <t>バンゴウ</t>
    </rPh>
    <phoneticPr fontId="2"/>
  </si>
  <si>
    <t>計</t>
    <rPh sb="0" eb="1">
      <t>ケイ</t>
    </rPh>
    <phoneticPr fontId="2"/>
  </si>
  <si>
    <t>人</t>
    <rPh sb="0" eb="1">
      <t>ヒト</t>
    </rPh>
    <phoneticPr fontId="2"/>
  </si>
  <si>
    <t>ゆうちょ</t>
    <phoneticPr fontId="2"/>
  </si>
  <si>
    <t>東邦</t>
    <rPh sb="0" eb="2">
      <t>トウホウ</t>
    </rPh>
    <phoneticPr fontId="2"/>
  </si>
  <si>
    <t>会津支店</t>
    <rPh sb="0" eb="2">
      <t>アイヅ</t>
    </rPh>
    <rPh sb="2" eb="4">
      <t>シテン</t>
    </rPh>
    <phoneticPr fontId="2"/>
  </si>
  <si>
    <t>塩川支店</t>
    <rPh sb="0" eb="2">
      <t>シオカワ</t>
    </rPh>
    <rPh sb="2" eb="4">
      <t>シテン</t>
    </rPh>
    <phoneticPr fontId="2"/>
  </si>
  <si>
    <t>ゆうちょ</t>
    <phoneticPr fontId="2"/>
  </si>
  <si>
    <t>JA</t>
    <phoneticPr fontId="2"/>
  </si>
  <si>
    <t>湯川支店</t>
    <rPh sb="0" eb="2">
      <t>ユガワ</t>
    </rPh>
    <rPh sb="2" eb="4">
      <t>シテン</t>
    </rPh>
    <phoneticPr fontId="2"/>
  </si>
  <si>
    <t>JA</t>
    <phoneticPr fontId="2"/>
  </si>
  <si>
    <t>就学援助（東邦）</t>
    <rPh sb="0" eb="2">
      <t>シュウガク</t>
    </rPh>
    <rPh sb="2" eb="4">
      <t>エンジョ</t>
    </rPh>
    <rPh sb="5" eb="7">
      <t>トウホウ</t>
    </rPh>
    <phoneticPr fontId="2"/>
  </si>
  <si>
    <t>ゆうちょ</t>
    <phoneticPr fontId="2"/>
  </si>
  <si>
    <t>JA</t>
    <phoneticPr fontId="2"/>
  </si>
  <si>
    <t>県庁支店</t>
    <rPh sb="0" eb="2">
      <t>ケンチョウ</t>
    </rPh>
    <rPh sb="2" eb="4">
      <t>シテン</t>
    </rPh>
    <phoneticPr fontId="2"/>
  </si>
  <si>
    <t>就学援助</t>
    <rPh sb="0" eb="2">
      <t>シュウガク</t>
    </rPh>
    <rPh sb="2" eb="4">
      <t>エンジョ</t>
    </rPh>
    <phoneticPr fontId="2"/>
  </si>
  <si>
    <t>JA</t>
    <phoneticPr fontId="2"/>
  </si>
  <si>
    <t>ＪＡ会津よつば</t>
    <rPh sb="2" eb="4">
      <t>アイヅ</t>
    </rPh>
    <phoneticPr fontId="2"/>
  </si>
  <si>
    <t>坂下支店</t>
    <rPh sb="0" eb="2">
      <t>サカシタ</t>
    </rPh>
    <rPh sb="2" eb="4">
      <t>シテン</t>
    </rPh>
    <phoneticPr fontId="2"/>
  </si>
  <si>
    <t>滝沢支店</t>
    <rPh sb="0" eb="4">
      <t>タキザワシテン</t>
    </rPh>
    <phoneticPr fontId="2"/>
  </si>
  <si>
    <t>喜多方支店</t>
    <rPh sb="0" eb="3">
      <t>キタカタ</t>
    </rPh>
    <rPh sb="3" eb="5">
      <t>シテン</t>
    </rPh>
    <phoneticPr fontId="2"/>
  </si>
  <si>
    <t>門田支店</t>
    <rPh sb="0" eb="2">
      <t>モンデン</t>
    </rPh>
    <rPh sb="2" eb="4">
      <t>シテン</t>
    </rPh>
    <phoneticPr fontId="2"/>
  </si>
  <si>
    <t>会津本町支店</t>
    <rPh sb="0" eb="2">
      <t>アイヅ</t>
    </rPh>
    <rPh sb="2" eb="4">
      <t>ホンチョウ</t>
    </rPh>
    <rPh sb="4" eb="6">
      <t>シテン</t>
    </rPh>
    <phoneticPr fontId="2"/>
  </si>
  <si>
    <t>会津アピオ支店</t>
    <rPh sb="0" eb="2">
      <t>アイヅ</t>
    </rPh>
    <rPh sb="5" eb="7">
      <t>シテン</t>
    </rPh>
    <phoneticPr fontId="2"/>
  </si>
  <si>
    <t>滝沢支店</t>
    <rPh sb="0" eb="2">
      <t>タキザワ</t>
    </rPh>
    <rPh sb="2" eb="4">
      <t>シテン</t>
    </rPh>
    <phoneticPr fontId="2"/>
  </si>
  <si>
    <t>会津一之町</t>
    <rPh sb="0" eb="2">
      <t>アイヅ</t>
    </rPh>
    <rPh sb="2" eb="3">
      <t>イチ</t>
    </rPh>
    <rPh sb="3" eb="4">
      <t>ノ</t>
    </rPh>
    <rPh sb="4" eb="5">
      <t>マチ</t>
    </rPh>
    <phoneticPr fontId="2"/>
  </si>
  <si>
    <t>ゆうちょ</t>
    <phoneticPr fontId="2"/>
  </si>
  <si>
    <t>福島駅前支店</t>
    <rPh sb="0" eb="2">
      <t>フクシマ</t>
    </rPh>
    <rPh sb="2" eb="4">
      <t>エキマエ</t>
    </rPh>
    <rPh sb="4" eb="6">
      <t>シテン</t>
    </rPh>
    <phoneticPr fontId="2"/>
  </si>
  <si>
    <t>会津一之町支店</t>
    <rPh sb="0" eb="2">
      <t>アイヅ</t>
    </rPh>
    <rPh sb="2" eb="3">
      <t>イチ</t>
    </rPh>
    <rPh sb="3" eb="4">
      <t>ノ</t>
    </rPh>
    <rPh sb="4" eb="5">
      <t>マチ</t>
    </rPh>
    <rPh sb="5" eb="7">
      <t>シテン</t>
    </rPh>
    <phoneticPr fontId="2"/>
  </si>
  <si>
    <t>JA</t>
    <phoneticPr fontId="2"/>
  </si>
  <si>
    <t>湯川</t>
    <rPh sb="0" eb="2">
      <t>ユガワ</t>
    </rPh>
    <phoneticPr fontId="2"/>
  </si>
  <si>
    <t>東邦</t>
    <rPh sb="0" eb="2">
      <t>トウホウ</t>
    </rPh>
    <phoneticPr fontId="2"/>
  </si>
  <si>
    <t>会津アピオ</t>
    <rPh sb="0" eb="2">
      <t>アイヅ</t>
    </rPh>
    <phoneticPr fontId="2"/>
  </si>
  <si>
    <t>会津一之町</t>
    <rPh sb="0" eb="2">
      <t>アイヅ</t>
    </rPh>
    <rPh sb="2" eb="3">
      <t>イチ</t>
    </rPh>
    <rPh sb="3" eb="4">
      <t>ノ</t>
    </rPh>
    <rPh sb="4" eb="5">
      <t>マチ</t>
    </rPh>
    <phoneticPr fontId="2"/>
  </si>
  <si>
    <t>ゆうちょ</t>
    <phoneticPr fontId="2"/>
  </si>
  <si>
    <t>郡山大町</t>
    <rPh sb="0" eb="2">
      <t>コオリヤマ</t>
    </rPh>
    <rPh sb="2" eb="4">
      <t>オオマチ</t>
    </rPh>
    <phoneticPr fontId="2"/>
  </si>
  <si>
    <t>坂下</t>
    <rPh sb="0" eb="2">
      <t>サカシタ</t>
    </rPh>
    <phoneticPr fontId="2"/>
  </si>
  <si>
    <t>会津</t>
    <rPh sb="0" eb="2">
      <t>アイヅ</t>
    </rPh>
    <phoneticPr fontId="2"/>
  </si>
  <si>
    <t>塩川</t>
    <rPh sb="0" eb="2">
      <t>シオカワ</t>
    </rPh>
    <phoneticPr fontId="2"/>
  </si>
  <si>
    <t>喜多方</t>
    <rPh sb="0" eb="3">
      <t>キタカタ</t>
    </rPh>
    <phoneticPr fontId="2"/>
  </si>
  <si>
    <t>泉</t>
    <rPh sb="0" eb="1">
      <t>イズミ</t>
    </rPh>
    <phoneticPr fontId="2"/>
  </si>
  <si>
    <t>門田</t>
    <rPh sb="0" eb="2">
      <t>モンデン</t>
    </rPh>
    <phoneticPr fontId="2"/>
  </si>
  <si>
    <t>就学援助</t>
    <rPh sb="0" eb="2">
      <t>シュウガク</t>
    </rPh>
    <rPh sb="2" eb="4">
      <t>エンジョ</t>
    </rPh>
    <phoneticPr fontId="2"/>
  </si>
  <si>
    <t>湯川</t>
    <rPh sb="0" eb="2">
      <t>ユガワ</t>
    </rPh>
    <phoneticPr fontId="2"/>
  </si>
  <si>
    <t>東邦</t>
    <phoneticPr fontId="2"/>
  </si>
  <si>
    <t>ゆうちょ</t>
    <phoneticPr fontId="2"/>
  </si>
  <si>
    <t>JA</t>
    <phoneticPr fontId="2"/>
  </si>
  <si>
    <t>湯川</t>
    <rPh sb="0" eb="2">
      <t>ユガワ</t>
    </rPh>
    <phoneticPr fontId="2"/>
  </si>
  <si>
    <t>ゆうちょ</t>
    <phoneticPr fontId="2"/>
  </si>
  <si>
    <t>東邦</t>
    <rPh sb="0" eb="2">
      <t>トウホウ</t>
    </rPh>
    <phoneticPr fontId="2"/>
  </si>
  <si>
    <t>会津</t>
    <rPh sb="0" eb="2">
      <t>アイヅ</t>
    </rPh>
    <phoneticPr fontId="2"/>
  </si>
  <si>
    <t>渡利</t>
    <rPh sb="0" eb="2">
      <t>ワタリ</t>
    </rPh>
    <phoneticPr fontId="2"/>
  </si>
  <si>
    <t>塩川</t>
    <rPh sb="0" eb="2">
      <t>シオカワ</t>
    </rPh>
    <phoneticPr fontId="2"/>
  </si>
  <si>
    <t>JA</t>
    <phoneticPr fontId="2"/>
  </si>
  <si>
    <t>滝沢</t>
    <rPh sb="0" eb="2">
      <t>タキザワ</t>
    </rPh>
    <phoneticPr fontId="2"/>
  </si>
  <si>
    <t>就学援助</t>
    <rPh sb="0" eb="2">
      <t>シュウガク</t>
    </rPh>
    <rPh sb="2" eb="4">
      <t>エンジョ</t>
    </rPh>
    <phoneticPr fontId="2"/>
  </si>
  <si>
    <t>滝沢</t>
    <rPh sb="0" eb="2">
      <t>タキザワ</t>
    </rPh>
    <phoneticPr fontId="2"/>
  </si>
  <si>
    <t>門田</t>
    <rPh sb="0" eb="2">
      <t>モンデン</t>
    </rPh>
    <phoneticPr fontId="2"/>
  </si>
  <si>
    <t>ゆうちょ</t>
    <phoneticPr fontId="2"/>
  </si>
  <si>
    <t>東邦</t>
    <rPh sb="0" eb="2">
      <t>トウホウ</t>
    </rPh>
    <phoneticPr fontId="2"/>
  </si>
  <si>
    <t>会津</t>
    <rPh sb="0" eb="2">
      <t>アイヅ</t>
    </rPh>
    <phoneticPr fontId="2"/>
  </si>
  <si>
    <t>塩川</t>
    <rPh sb="0" eb="2">
      <t>シオカワ</t>
    </rPh>
    <phoneticPr fontId="2"/>
  </si>
  <si>
    <t>JA</t>
    <phoneticPr fontId="2"/>
  </si>
  <si>
    <t>湯川</t>
    <rPh sb="0" eb="2">
      <t>ユガワ</t>
    </rPh>
    <phoneticPr fontId="2"/>
  </si>
  <si>
    <t>喜多方</t>
    <rPh sb="0" eb="3">
      <t>キタカタ</t>
    </rPh>
    <phoneticPr fontId="2"/>
  </si>
  <si>
    <t>滝沢</t>
    <rPh sb="0" eb="2">
      <t>タキザワ</t>
    </rPh>
    <phoneticPr fontId="2"/>
  </si>
  <si>
    <t>JA</t>
    <phoneticPr fontId="2"/>
  </si>
  <si>
    <t>三島</t>
    <rPh sb="0" eb="2">
      <t>ミシマ</t>
    </rPh>
    <phoneticPr fontId="2"/>
  </si>
  <si>
    <t>泉</t>
    <rPh sb="0" eb="1">
      <t>イズミ</t>
    </rPh>
    <phoneticPr fontId="2"/>
  </si>
  <si>
    <t>坂下</t>
    <rPh sb="0" eb="2">
      <t>バンゲ</t>
    </rPh>
    <phoneticPr fontId="2"/>
  </si>
  <si>
    <t>県庁</t>
    <rPh sb="0" eb="2">
      <t>ケンチョウ</t>
    </rPh>
    <phoneticPr fontId="2"/>
  </si>
  <si>
    <t>竹田綜合病院</t>
    <rPh sb="0" eb="2">
      <t>タケダ</t>
    </rPh>
    <rPh sb="2" eb="4">
      <t>ソウゴウ</t>
    </rPh>
    <rPh sb="4" eb="6">
      <t>ビョウイン</t>
    </rPh>
    <phoneticPr fontId="2"/>
  </si>
  <si>
    <t>会津一之町</t>
  </si>
  <si>
    <t>就学援助</t>
    <rPh sb="0" eb="2">
      <t>シュウガク</t>
    </rPh>
    <rPh sb="2" eb="4">
      <t>エンジョ</t>
    </rPh>
    <phoneticPr fontId="2"/>
  </si>
  <si>
    <t>東邦</t>
    <rPh sb="0" eb="2">
      <t>トウホウ</t>
    </rPh>
    <phoneticPr fontId="2"/>
  </si>
  <si>
    <t>喜多方</t>
    <rPh sb="0" eb="3">
      <t>キタカタ</t>
    </rPh>
    <phoneticPr fontId="2"/>
  </si>
  <si>
    <t>ゆうちょ</t>
    <phoneticPr fontId="2"/>
  </si>
  <si>
    <t>塩川</t>
    <rPh sb="0" eb="2">
      <t>シオカワ</t>
    </rPh>
    <phoneticPr fontId="2"/>
  </si>
  <si>
    <t>湯川</t>
    <rPh sb="0" eb="2">
      <t>ユガワ</t>
    </rPh>
    <phoneticPr fontId="2"/>
  </si>
  <si>
    <t>坂下</t>
    <rPh sb="0" eb="2">
      <t>バンゲ</t>
    </rPh>
    <phoneticPr fontId="2"/>
  </si>
  <si>
    <t>会津</t>
    <rPh sb="0" eb="2">
      <t>アイヅ</t>
    </rPh>
    <phoneticPr fontId="2"/>
  </si>
  <si>
    <t>谷川瀬</t>
    <rPh sb="0" eb="1">
      <t>タニ</t>
    </rPh>
    <rPh sb="1" eb="3">
      <t>カワセ</t>
    </rPh>
    <phoneticPr fontId="2"/>
  </si>
  <si>
    <t>西会津</t>
    <rPh sb="0" eb="3">
      <t>ニシアイヅ</t>
    </rPh>
    <phoneticPr fontId="2"/>
  </si>
  <si>
    <t>会津若松</t>
    <rPh sb="0" eb="4">
      <t>アイヅワカマツ</t>
    </rPh>
    <phoneticPr fontId="2"/>
  </si>
  <si>
    <t>門田</t>
    <rPh sb="0" eb="2">
      <t>モンデン</t>
    </rPh>
    <phoneticPr fontId="2"/>
  </si>
  <si>
    <t>県庁</t>
    <rPh sb="0" eb="2">
      <t>ケンチョウ</t>
    </rPh>
    <phoneticPr fontId="2"/>
  </si>
  <si>
    <t>JA</t>
    <phoneticPr fontId="2"/>
  </si>
  <si>
    <t>湯川</t>
    <rPh sb="0" eb="2">
      <t>ユガワ</t>
    </rPh>
    <phoneticPr fontId="2"/>
  </si>
  <si>
    <t>坂下支店</t>
    <rPh sb="0" eb="2">
      <t>バンゲ</t>
    </rPh>
    <rPh sb="2" eb="4">
      <t>シテン</t>
    </rPh>
    <phoneticPr fontId="2"/>
  </si>
  <si>
    <t>JA</t>
    <phoneticPr fontId="2"/>
  </si>
  <si>
    <t>湯川</t>
    <rPh sb="0" eb="2">
      <t>ユガワ</t>
    </rPh>
    <phoneticPr fontId="2"/>
  </si>
  <si>
    <t>湯川</t>
    <rPh sb="0" eb="2">
      <t>ユガワ</t>
    </rPh>
    <phoneticPr fontId="2"/>
  </si>
  <si>
    <t>本店営業部</t>
    <rPh sb="0" eb="5">
      <t>ホンテンエイギョウブ</t>
    </rPh>
    <phoneticPr fontId="2"/>
  </si>
  <si>
    <t>坂下</t>
    <rPh sb="0" eb="2">
      <t>バンゲ</t>
    </rPh>
    <phoneticPr fontId="2"/>
  </si>
  <si>
    <t>郡山北</t>
    <rPh sb="0" eb="2">
      <t>コオリヤマ</t>
    </rPh>
    <rPh sb="2" eb="3">
      <t>キタ</t>
    </rPh>
    <phoneticPr fontId="2"/>
  </si>
  <si>
    <t>会津</t>
    <rPh sb="0" eb="2">
      <t>アイヅ</t>
    </rPh>
    <phoneticPr fontId="2"/>
  </si>
  <si>
    <t>仁志</t>
  </si>
  <si>
    <t>佑太</t>
  </si>
  <si>
    <t>太郎</t>
  </si>
  <si>
    <t>花子</t>
  </si>
  <si>
    <t>キビ</t>
  </si>
  <si>
    <t>タン</t>
  </si>
  <si>
    <t>キビ子</t>
  </si>
  <si>
    <t>三太夫</t>
  </si>
  <si>
    <t>一</t>
  </si>
  <si>
    <t>福島子</t>
  </si>
  <si>
    <t>福島</t>
    <phoneticPr fontId="2" type="halfwidthKatakana" alignment="center"/>
  </si>
  <si>
    <t>キビ子</t>
    <phoneticPr fontId="2" type="halfwidthKatakana" alignment="center"/>
  </si>
  <si>
    <t>花子</t>
    <phoneticPr fontId="2" type="halfwidthKatakana" alignment="center"/>
  </si>
  <si>
    <t>キビ</t>
    <phoneticPr fontId="2" type="halfwidthKatakana" alignment="center"/>
  </si>
  <si>
    <t>佑太</t>
    <phoneticPr fontId="2" type="halfwidthKatakana" alignment="center"/>
  </si>
  <si>
    <t>会津</t>
    <phoneticPr fontId="2" type="halfwidthKatakana" alignment="center"/>
  </si>
  <si>
    <t>タン</t>
    <phoneticPr fontId="2" type="halfwidthKatakana" alignment="center"/>
  </si>
  <si>
    <t>三太夫</t>
    <phoneticPr fontId="2" type="halfwidthKatakana" alignment="center"/>
  </si>
  <si>
    <t>若松</t>
    <phoneticPr fontId="2" type="halfwidthKatakana" alignment="center"/>
  </si>
  <si>
    <t>太郎</t>
    <phoneticPr fontId="2" type="halfwidthKatakana" alignment="center"/>
  </si>
  <si>
    <t>白岩</t>
    <phoneticPr fontId="2" type="halfwidthKatakana" alignment="center"/>
  </si>
  <si>
    <t>佐々木</t>
    <phoneticPr fontId="2" type="halfwidthKatakana" alignment="center"/>
  </si>
  <si>
    <t>仁志</t>
    <phoneticPr fontId="2" type="halfwidthKatakana" alignment="center"/>
  </si>
  <si>
    <t>坂下</t>
    <phoneticPr fontId="2" type="halfwidthKatakana" alignment="center"/>
  </si>
  <si>
    <t>喜多方</t>
    <phoneticPr fontId="2" type="halfwidthKatakana" alignment="center"/>
  </si>
  <si>
    <t>福島子</t>
    <phoneticPr fontId="2" type="halfwidthKatakana" alignment="center"/>
  </si>
  <si>
    <t>一</t>
    <phoneticPr fontId="2" type="halfwidthKatakana" alignment="center"/>
  </si>
  <si>
    <t>五十嵐</t>
    <phoneticPr fontId="2" type="halfwidthKatakana" alignment="center"/>
  </si>
  <si>
    <t>湯川</t>
    <phoneticPr fontId="2" type="halfwidthKatakana" alignment="center"/>
  </si>
  <si>
    <t>国</t>
    <phoneticPr fontId="2" type="halfwidthKatakana" alignment="center"/>
  </si>
  <si>
    <t>花子</t>
    <phoneticPr fontId="2" type="halfwidthKatakana" alignment="center"/>
  </si>
  <si>
    <t>キビ</t>
    <phoneticPr fontId="2" type="halfwidthKatakana" alignment="center"/>
  </si>
  <si>
    <t>タン</t>
    <phoneticPr fontId="2" type="halfwidthKatakana" alignment="center"/>
  </si>
  <si>
    <t>福島</t>
    <rPh sb="0" eb="2">
      <t>ﾌｸｼﾏ</t>
    </rPh>
    <phoneticPr fontId="2" type="halfwidthKatakana" alignment="center"/>
  </si>
  <si>
    <t>キビ子</t>
    <phoneticPr fontId="2" type="halfwidthKatakana" alignment="center"/>
  </si>
  <si>
    <t>福島 キビ子</t>
  </si>
  <si>
    <t>白岩 福島子</t>
  </si>
  <si>
    <t>国 キビ</t>
  </si>
  <si>
    <t>会津 タン</t>
  </si>
  <si>
    <t>喜多方 キビ</t>
  </si>
  <si>
    <t>若松 キビ</t>
  </si>
  <si>
    <t>白岩 花子</t>
  </si>
  <si>
    <t>佐々木 タン</t>
  </si>
  <si>
    <t>坂下 仁志</t>
  </si>
  <si>
    <t>若松 タン</t>
  </si>
  <si>
    <t>坂下 佑太</t>
  </si>
  <si>
    <t>喜多方 仁志</t>
  </si>
  <si>
    <t>福島 佑太</t>
  </si>
  <si>
    <t>喜多方 太郎</t>
  </si>
  <si>
    <t>喜多方 佑太</t>
  </si>
  <si>
    <t>喜多方 一</t>
  </si>
  <si>
    <t>白岩 キビ</t>
  </si>
  <si>
    <t>白岩 太郎</t>
  </si>
  <si>
    <t>五十嵐 仁志</t>
  </si>
  <si>
    <t>佐々木 花子</t>
  </si>
  <si>
    <t>会津 佑太</t>
  </si>
  <si>
    <t>佐々木 仁志</t>
  </si>
  <si>
    <t>佐々木 キビ子</t>
  </si>
  <si>
    <t>五十嵐 太郎</t>
  </si>
  <si>
    <t>福島 一</t>
  </si>
  <si>
    <t>坂下 タン</t>
  </si>
  <si>
    <t>湯川 佑太</t>
  </si>
  <si>
    <t>国 タン</t>
  </si>
  <si>
    <t>若松 太郎</t>
  </si>
  <si>
    <t>若松 仁志</t>
  </si>
  <si>
    <t>若松 三太夫</t>
  </si>
  <si>
    <t>福島 タン</t>
  </si>
  <si>
    <t>佐々木 三太夫</t>
  </si>
  <si>
    <t>国 花子</t>
  </si>
  <si>
    <t>湯川 太郎</t>
  </si>
  <si>
    <t>福島 花子</t>
  </si>
  <si>
    <t>白岩 三太夫</t>
  </si>
  <si>
    <t>若松 花子</t>
  </si>
  <si>
    <t>湯川 タン</t>
  </si>
  <si>
    <t>白岩 タン</t>
  </si>
  <si>
    <t>若松 一</t>
  </si>
  <si>
    <t>湯川 キビ</t>
  </si>
  <si>
    <t>会津 太郎</t>
  </si>
  <si>
    <t>湯川 三太夫</t>
  </si>
  <si>
    <t>福島 キビ</t>
  </si>
  <si>
    <t>白岩 一</t>
  </si>
  <si>
    <t>坂下 花子</t>
  </si>
  <si>
    <t>坂下 太郎</t>
  </si>
  <si>
    <t>坂下 キビ子</t>
  </si>
  <si>
    <t>若松 キビ子</t>
  </si>
  <si>
    <t>佐々木 太郎</t>
  </si>
  <si>
    <t>喜多方 タン</t>
  </si>
  <si>
    <t>湯川 花子</t>
  </si>
  <si>
    <t>湯川 仁志</t>
  </si>
  <si>
    <t>若松 佑太</t>
  </si>
  <si>
    <t>五十嵐 キビ</t>
  </si>
  <si>
    <t>会津 一</t>
  </si>
  <si>
    <t>五十嵐 花子</t>
  </si>
  <si>
    <t>国 佑太</t>
  </si>
  <si>
    <t>ﾌｸｼﾏ　ﾀﾛｳ</t>
  </si>
  <si>
    <t>ﾌｸｼﾏ　ﾀﾛｳ</t>
    <phoneticPr fontId="2"/>
  </si>
  <si>
    <t>ｼﾗｲﾜ　ｷﾋﾞ</t>
  </si>
  <si>
    <t>ｼﾗｲﾜ　ｷﾋﾞ</t>
    <phoneticPr fontId="2"/>
  </si>
  <si>
    <t>ｸﾆ　ﾌｸｼﾏｺ</t>
  </si>
  <si>
    <t>ｸﾆ　ﾌｸｼﾏｺ</t>
    <phoneticPr fontId="2"/>
  </si>
  <si>
    <t>ｱｲﾂﾞ　ｻﾝﾀﾞﾕｳ</t>
  </si>
  <si>
    <t>ｱｲﾂﾞ　ｻﾝﾀﾞﾕｳ</t>
    <phoneticPr fontId="2"/>
  </si>
  <si>
    <t>ｷﾀｶﾀ　ｷﾋﾞ</t>
  </si>
  <si>
    <t>ｷﾀｶﾀ　ｷﾋﾞ</t>
    <phoneticPr fontId="2"/>
  </si>
  <si>
    <t>ﾜｶﾏﾂ　ｷﾋﾞ</t>
  </si>
  <si>
    <t>ﾜｶﾏﾂ　ｷﾋﾞ</t>
    <phoneticPr fontId="2"/>
  </si>
  <si>
    <t>ｼﾗｲﾜ　ｻﾝﾀﾞﾕｳ</t>
  </si>
  <si>
    <t>ｼﾗｲﾜ　ｻﾝﾀﾞﾕｳ</t>
    <phoneticPr fontId="2"/>
  </si>
  <si>
    <t>ｼﾗｲﾜ　ﾊｼﾞﾒ</t>
  </si>
  <si>
    <t>ｼﾗｲﾜ　ﾊｼﾞﾒ</t>
    <phoneticPr fontId="2"/>
  </si>
  <si>
    <t>ｻｻｷ　ﾀﾝ</t>
  </si>
  <si>
    <t>ｻｻｷ　ﾀﾝ</t>
    <phoneticPr fontId="2"/>
  </si>
  <si>
    <t>ﾜｶﾏﾂ　ﾊｼﾞﾒ</t>
  </si>
  <si>
    <t>ﾜｶﾏﾂ　ﾊｼﾞﾒ</t>
    <phoneticPr fontId="2"/>
  </si>
  <si>
    <t>ｻｶｼﾀ　ﾊﾅｺ</t>
  </si>
  <si>
    <t>ｻｶｼﾀ　ﾊﾅｺ</t>
    <phoneticPr fontId="2"/>
  </si>
  <si>
    <t>ﾕｶﾞﾜ　ﾀﾛｳ</t>
  </si>
  <si>
    <t>ﾕｶﾞﾜ　ﾀﾛｳ</t>
    <phoneticPr fontId="2"/>
  </si>
  <si>
    <t>ﾜｶﾏﾂ　ﾊﾅｺ</t>
  </si>
  <si>
    <t>ﾜｶﾏﾂ　ﾊﾅｺ</t>
    <phoneticPr fontId="2"/>
  </si>
  <si>
    <t>ｻｶｼﾀ　ﾕｳﾀ</t>
  </si>
  <si>
    <t>ｻｶｼﾀ　ﾕｳﾀ</t>
    <phoneticPr fontId="2"/>
  </si>
  <si>
    <t>ﾌｸｼﾏ　ﾋﾄｼ</t>
  </si>
  <si>
    <t>ﾌｸｼﾏ　ﾋﾄｼ</t>
    <phoneticPr fontId="2"/>
  </si>
  <si>
    <t>ｷﾀｶﾀ　ﾀﾛｳ</t>
  </si>
  <si>
    <t>ｷﾀｶﾀ　ﾀﾛｳ</t>
    <phoneticPr fontId="2"/>
  </si>
  <si>
    <t>ﾌｸｼﾏ　ﾕｳﾀ</t>
  </si>
  <si>
    <t>ﾌｸｼﾏ　ﾕｳﾀ</t>
    <phoneticPr fontId="2"/>
  </si>
  <si>
    <t>ｷﾀｶﾀ　ﾊｼﾞﾒ</t>
  </si>
  <si>
    <t>ｷﾀｶﾀ　ﾊｼﾞﾒ</t>
    <phoneticPr fontId="2"/>
  </si>
  <si>
    <t>ｼﾗｲﾜ　ﾀﾛｳ</t>
  </si>
  <si>
    <t>ｼﾗｲﾜ　ﾀﾛｳ</t>
    <phoneticPr fontId="2"/>
  </si>
  <si>
    <t>ｲｶﾞﾗｼ　ﾊﾅｺ</t>
  </si>
  <si>
    <t>ｲｶﾞﾗｼ　ﾊﾅｺ</t>
    <phoneticPr fontId="2"/>
  </si>
  <si>
    <t>ｼﾗｲﾜ　ｷﾋﾞｺ</t>
  </si>
  <si>
    <t>ｼﾗｲﾜ　ｷﾋﾞｺ</t>
    <phoneticPr fontId="2"/>
  </si>
  <si>
    <t>ｻｻｷ　ｷﾋﾞｺ</t>
  </si>
  <si>
    <t>ｻｻｷ　ｷﾋﾞｺ</t>
    <phoneticPr fontId="2"/>
  </si>
  <si>
    <t>ｻｻｷ　ﾊﾅｺ</t>
  </si>
  <si>
    <t>ｻｻｷ　ﾊﾅｺ</t>
    <phoneticPr fontId="2"/>
  </si>
  <si>
    <t>ｻｻｷ　ﾋﾄｼ</t>
  </si>
  <si>
    <t>ｻｻｷ　ﾋﾄｼ</t>
    <phoneticPr fontId="2"/>
  </si>
  <si>
    <t>ｲｶﾞﾗｼ　ﾀﾛｳ</t>
  </si>
  <si>
    <t>ｲｶﾞﾗｼ　ﾀﾛｳ</t>
    <phoneticPr fontId="2"/>
  </si>
  <si>
    <t>ﾌｸｼﾏ　ｲﾁ</t>
  </si>
  <si>
    <t>ﾌｸｼﾏ　ｲﾁ</t>
    <phoneticPr fontId="2"/>
  </si>
  <si>
    <t>ｼﾗｲﾜ　ﾌｸｼﾏｺ</t>
  </si>
  <si>
    <t>ｼﾗｲﾜ　ﾌｸｼﾏｺ</t>
    <phoneticPr fontId="2"/>
  </si>
  <si>
    <t>ｻｶｼﾀ　ｻﾝﾀﾞﾕｳ</t>
  </si>
  <si>
    <t>ｻｶｼﾀ　ｻﾝﾀﾞﾕｳ</t>
    <phoneticPr fontId="2"/>
  </si>
  <si>
    <t>ｸﾆ　ﾀﾝ</t>
  </si>
  <si>
    <t>ｸﾆ　ﾀﾝ</t>
    <phoneticPr fontId="2"/>
  </si>
  <si>
    <t>ﾜｶﾏﾂ　ﾊﾅｺ</t>
    <phoneticPr fontId="2"/>
  </si>
  <si>
    <t>ﾌｸｼﾏ　ﾀﾝ</t>
  </si>
  <si>
    <t>ﾌｸｼﾏ　ﾀﾝ</t>
    <phoneticPr fontId="2"/>
  </si>
  <si>
    <t>ｸﾆ　ﾀﾛｳ</t>
  </si>
  <si>
    <t>ｸﾆ　ﾀﾛｳ</t>
    <phoneticPr fontId="2"/>
  </si>
  <si>
    <t>ﾌｸｼﾏ　ﾊﾅｺ</t>
  </si>
  <si>
    <t>ﾌｸｼﾏ　ﾊﾅｺ</t>
    <phoneticPr fontId="2"/>
  </si>
  <si>
    <t>ﾕｶﾞﾜ　ﾀﾝ</t>
  </si>
  <si>
    <t>ﾕｶﾞﾜ　ﾀﾝ</t>
    <phoneticPr fontId="2"/>
  </si>
  <si>
    <t>ｼﾗｲﾜ　ﾊﾅｺ</t>
  </si>
  <si>
    <t>ｼﾗｲﾜ　ﾊﾅｺ</t>
    <phoneticPr fontId="2"/>
  </si>
  <si>
    <t>ﾜｶﾏﾂ　ｲﾁ</t>
  </si>
  <si>
    <t>ﾜｶﾏﾂ　ｲﾁ</t>
    <phoneticPr fontId="2"/>
  </si>
  <si>
    <t>ｻｶｼﾀ　ﾊﾅｺ</t>
    <phoneticPr fontId="2"/>
  </si>
  <si>
    <t>ｻｶｼﾀ　ﾕｳﾀ</t>
    <phoneticPr fontId="2"/>
  </si>
  <si>
    <t>ｻｻｷ　ﾌｸｼﾏｺ</t>
  </si>
  <si>
    <t>ｻｻｷ　ﾌｸｼﾏｺ</t>
    <phoneticPr fontId="2"/>
  </si>
  <si>
    <t>ﾕｶﾞﾜ　ﾊﾅｺ</t>
  </si>
  <si>
    <t>ﾕｶﾞﾜ　ﾊﾅｺ</t>
    <phoneticPr fontId="2"/>
  </si>
  <si>
    <t>ﾜｶﾏﾂ　ﾕｳﾀ</t>
  </si>
  <si>
    <t>ﾜｶﾏﾂ　ﾕｳﾀ</t>
    <phoneticPr fontId="2"/>
  </si>
  <si>
    <t>ｸﾆ　ﾊﾅｺ</t>
  </si>
  <si>
    <t>ｸﾆ　ﾊﾅｺ</t>
    <phoneticPr fontId="2"/>
  </si>
  <si>
    <t>ｱｲﾂﾞ　ﾀﾛｳ</t>
  </si>
  <si>
    <t>ｱｲﾂﾞ　ﾀﾛｳ</t>
    <phoneticPr fontId="2"/>
  </si>
  <si>
    <t>ｱｲﾂﾞ　ﾌｸｼﾏｺ</t>
    <phoneticPr fontId="2"/>
  </si>
  <si>
    <t xml:space="preserve"> ホンテン</t>
  </si>
  <si>
    <t xml:space="preserve"> ケンチヨウ</t>
  </si>
  <si>
    <t xml:space="preserve"> ナカマチ</t>
  </si>
  <si>
    <t xml:space="preserve"> セノウエ</t>
  </si>
  <si>
    <t xml:space="preserve"> イイザカ</t>
  </si>
  <si>
    <t xml:space="preserve"> コオリ</t>
  </si>
  <si>
    <t xml:space="preserve"> ホバラ</t>
  </si>
  <si>
    <t xml:space="preserve"> ヤナガワ</t>
  </si>
  <si>
    <t xml:space="preserve"> カワマタ</t>
  </si>
  <si>
    <t xml:space="preserve"> イイノ</t>
  </si>
  <si>
    <t xml:space="preserve"> ニホンマツ</t>
  </si>
  <si>
    <t xml:space="preserve"> ミナミフクシマ</t>
  </si>
  <si>
    <t xml:space="preserve"> ヒガシフクシマ</t>
  </si>
  <si>
    <t xml:space="preserve"> イズミ</t>
  </si>
  <si>
    <t xml:space="preserve"> キタフクシマ</t>
  </si>
  <si>
    <t xml:space="preserve"> フクシマエキマエ</t>
  </si>
  <si>
    <t xml:space="preserve"> ホウライ</t>
  </si>
  <si>
    <t xml:space="preserve"> フクシマシヤクシヨ</t>
  </si>
  <si>
    <t xml:space="preserve"> ササヤ</t>
  </si>
  <si>
    <t xml:space="preserve"> ニシフクシマ</t>
  </si>
  <si>
    <t xml:space="preserve"> ワタリ</t>
  </si>
  <si>
    <t xml:space="preserve"> マツヤマ</t>
  </si>
  <si>
    <t xml:space="preserve"> ホウキダ</t>
  </si>
  <si>
    <t xml:space="preserve"> オオモリ</t>
  </si>
  <si>
    <t xml:space="preserve"> ヒラノ</t>
  </si>
  <si>
    <t xml:space="preserve"> フクシマイダイビヨウイン</t>
  </si>
  <si>
    <t xml:space="preserve"> フクシマニシチユウオウ</t>
  </si>
  <si>
    <t xml:space="preserve"> ロ－ンプラザフクシマ</t>
  </si>
  <si>
    <t xml:space="preserve"> コオリヤマ</t>
  </si>
  <si>
    <t xml:space="preserve"> コオリヤマナカマチ</t>
  </si>
  <si>
    <t xml:space="preserve"> コオリヤマオオマチ</t>
  </si>
  <si>
    <t xml:space="preserve"> コオリヤマエキマエ</t>
  </si>
  <si>
    <t xml:space="preserve"> コオリヤマミナミ</t>
  </si>
  <si>
    <t xml:space="preserve"> モトミヤ</t>
  </si>
  <si>
    <t xml:space="preserve"> スカガワ</t>
  </si>
  <si>
    <t xml:space="preserve"> ミハル</t>
  </si>
  <si>
    <t xml:space="preserve"> フネヒキ</t>
  </si>
  <si>
    <t xml:space="preserve"> オノ</t>
  </si>
  <si>
    <t xml:space="preserve"> アサカ</t>
  </si>
  <si>
    <t xml:space="preserve"> コオリヤマオロシマチ</t>
  </si>
  <si>
    <t xml:space="preserve"> サイコン</t>
  </si>
  <si>
    <t xml:space="preserve"> コオリヤマシヤクシヨ</t>
  </si>
  <si>
    <t xml:space="preserve"> クワノ</t>
  </si>
  <si>
    <t xml:space="preserve"> オオツキ</t>
  </si>
  <si>
    <t xml:space="preserve"> シンサクラドオリ</t>
  </si>
  <si>
    <t xml:space="preserve"> コオリヤマキタ</t>
  </si>
  <si>
    <t xml:space="preserve"> コオリヤマヒガシ</t>
  </si>
  <si>
    <t xml:space="preserve"> スカガワヒガシ</t>
  </si>
  <si>
    <t xml:space="preserve"> カガミイシ</t>
  </si>
  <si>
    <t xml:space="preserve"> コオリヤマアライ</t>
  </si>
  <si>
    <t xml:space="preserve"> ニシノウチ</t>
  </si>
  <si>
    <t xml:space="preserve"> キボウガオカ</t>
  </si>
  <si>
    <t xml:space="preserve"> トミタ</t>
  </si>
  <si>
    <t xml:space="preserve"> コオリヤマソウゴウオロシ</t>
  </si>
  <si>
    <t xml:space="preserve"> ロ－ンプラザスカガワ</t>
  </si>
  <si>
    <t xml:space="preserve"> ヤツヤマダ</t>
  </si>
  <si>
    <t xml:space="preserve"> コオリヤマカナヤ</t>
  </si>
  <si>
    <t xml:space="preserve"> シラカワ</t>
  </si>
  <si>
    <t xml:space="preserve"> ヤブキ</t>
  </si>
  <si>
    <t xml:space="preserve"> イシカワ</t>
  </si>
  <si>
    <t xml:space="preserve"> タナグラ</t>
  </si>
  <si>
    <t xml:space="preserve"> ハナワ</t>
  </si>
  <si>
    <t xml:space="preserve"> シラカワシヤクシヨ</t>
  </si>
  <si>
    <t xml:space="preserve"> シラカワニシ</t>
  </si>
  <si>
    <t xml:space="preserve"> アサカワ</t>
  </si>
  <si>
    <t xml:space="preserve"> シンシラカワ</t>
  </si>
  <si>
    <t xml:space="preserve"> アイヅ</t>
  </si>
  <si>
    <t xml:space="preserve"> アイヅイチノマチ</t>
  </si>
  <si>
    <t xml:space="preserve"> アイヅホンマチ</t>
  </si>
  <si>
    <t xml:space="preserve"> イナワシロ</t>
  </si>
  <si>
    <t xml:space="preserve"> シオカワ</t>
  </si>
  <si>
    <t xml:space="preserve"> キタカタ</t>
  </si>
  <si>
    <t xml:space="preserve"> バンゲ</t>
  </si>
  <si>
    <t xml:space="preserve"> タカダ</t>
  </si>
  <si>
    <t xml:space="preserve"> アイヅシモゴウ</t>
  </si>
  <si>
    <t xml:space="preserve"> タジマ</t>
  </si>
  <si>
    <t xml:space="preserve"> ヤマグチ</t>
  </si>
  <si>
    <t xml:space="preserve"> タダミ</t>
  </si>
  <si>
    <t xml:space="preserve"> カワグチ</t>
  </si>
  <si>
    <t xml:space="preserve"> アイヅワカマツシヤクシヨ</t>
  </si>
  <si>
    <t xml:space="preserve"> タケダソウゴウビヨウイン</t>
  </si>
  <si>
    <t xml:space="preserve"> モンデン</t>
  </si>
  <si>
    <t xml:space="preserve"> タキザワ</t>
  </si>
  <si>
    <t xml:space="preserve"> アイヅアピオ</t>
  </si>
  <si>
    <t xml:space="preserve"> ロ－ンプラザアイヅ</t>
  </si>
  <si>
    <t xml:space="preserve"> ハラマチ</t>
  </si>
  <si>
    <t xml:space="preserve"> ソウマ</t>
  </si>
  <si>
    <t xml:space="preserve"> オダカ</t>
  </si>
  <si>
    <t xml:space="preserve"> ナミエ</t>
  </si>
  <si>
    <t xml:space="preserve"> トミオカ</t>
  </si>
  <si>
    <t xml:space="preserve"> フタバ</t>
  </si>
  <si>
    <t xml:space="preserve"> ナラハ</t>
  </si>
  <si>
    <t xml:space="preserve"> オオクマ</t>
  </si>
  <si>
    <t xml:space="preserve"> イワキ</t>
  </si>
  <si>
    <t xml:space="preserve"> タイラニシ</t>
  </si>
  <si>
    <t xml:space="preserve"> ウチゴウ</t>
  </si>
  <si>
    <t xml:space="preserve"> ユモト</t>
  </si>
  <si>
    <t xml:space="preserve"> オナハマ</t>
  </si>
  <si>
    <t xml:space="preserve"> ウエダ</t>
  </si>
  <si>
    <t xml:space="preserve"> ナコソ</t>
  </si>
  <si>
    <t xml:space="preserve"> イワキシヤクシヨ</t>
  </si>
  <si>
    <t xml:space="preserve"> ヤガワセ</t>
  </si>
  <si>
    <t xml:space="preserve"> ヨツクラ</t>
  </si>
  <si>
    <t xml:space="preserve"> イワキイズミ</t>
  </si>
  <si>
    <t xml:space="preserve"> カベヤ</t>
  </si>
  <si>
    <t xml:space="preserve"> イワキカシマ</t>
  </si>
  <si>
    <t xml:space="preserve"> トウキヨウ</t>
  </si>
  <si>
    <t xml:space="preserve"> センダイ</t>
  </si>
  <si>
    <t xml:space="preserve"> ヒタチ</t>
  </si>
  <si>
    <t xml:space="preserve"> ウツノミヤ</t>
  </si>
  <si>
    <t xml:space="preserve"> ミト</t>
  </si>
  <si>
    <t xml:space="preserve"> ニイガタ</t>
  </si>
  <si>
    <t xml:space="preserve"> シンジユク</t>
  </si>
  <si>
    <t xml:space="preserve"> センダイヒガシ</t>
  </si>
  <si>
    <t xml:space="preserve"> ナトリ</t>
  </si>
  <si>
    <t xml:space="preserve"> ヨネザワ</t>
  </si>
  <si>
    <t xml:space="preserve"> センダイイズミ</t>
  </si>
  <si>
    <t xml:space="preserve"> センダイミナミ</t>
  </si>
  <si>
    <t xml:space="preserve"> インタ－ネツト</t>
  </si>
  <si>
    <t>県庁</t>
  </si>
  <si>
    <t>中町</t>
  </si>
  <si>
    <t>瀬上</t>
  </si>
  <si>
    <t>飯坂</t>
  </si>
  <si>
    <t>桑折</t>
  </si>
  <si>
    <t>保原</t>
  </si>
  <si>
    <t>梁川</t>
  </si>
  <si>
    <t>川俣</t>
  </si>
  <si>
    <t>飯野</t>
  </si>
  <si>
    <t>二本松</t>
  </si>
  <si>
    <t>南福島</t>
  </si>
  <si>
    <t>東福島</t>
  </si>
  <si>
    <t>泉</t>
  </si>
  <si>
    <t>北福島</t>
  </si>
  <si>
    <t>福島駅前</t>
  </si>
  <si>
    <t>蓬莱</t>
  </si>
  <si>
    <t>福島市役所</t>
  </si>
  <si>
    <t>笹谷</t>
  </si>
  <si>
    <t>西福島</t>
  </si>
  <si>
    <t>渡利</t>
  </si>
  <si>
    <t>松山</t>
  </si>
  <si>
    <t>方木田</t>
  </si>
  <si>
    <t>大森</t>
  </si>
  <si>
    <t>平野</t>
  </si>
  <si>
    <t>福島医大病院</t>
  </si>
  <si>
    <t>福島西中央</t>
  </si>
  <si>
    <t>ローンプラザ福島</t>
  </si>
  <si>
    <t>郡山中町</t>
  </si>
  <si>
    <t>郡山大町</t>
  </si>
  <si>
    <t>郡山駅前</t>
  </si>
  <si>
    <t>郡山南</t>
  </si>
  <si>
    <t>本宮</t>
  </si>
  <si>
    <t>須賀川</t>
  </si>
  <si>
    <t>三春</t>
  </si>
  <si>
    <t>船引</t>
  </si>
  <si>
    <t>小野</t>
  </si>
  <si>
    <t>安積</t>
  </si>
  <si>
    <t>郡山卸町</t>
  </si>
  <si>
    <t>菜根</t>
  </si>
  <si>
    <t>郡山市役所</t>
  </si>
  <si>
    <t>桑野</t>
  </si>
  <si>
    <t>大槻</t>
  </si>
  <si>
    <t>新さくら通り</t>
  </si>
  <si>
    <t>郡山北</t>
  </si>
  <si>
    <t>郡山東</t>
  </si>
  <si>
    <t>須賀川東</t>
  </si>
  <si>
    <t>鏡石</t>
  </si>
  <si>
    <t>郡山荒井</t>
  </si>
  <si>
    <t>西ノ内</t>
  </si>
  <si>
    <t>希望ヶ丘</t>
  </si>
  <si>
    <t>富田</t>
  </si>
  <si>
    <t>郡山総合卸市場</t>
  </si>
  <si>
    <t>ローンプラザ須賀川</t>
  </si>
  <si>
    <t>八山田</t>
  </si>
  <si>
    <t>郡山金屋</t>
  </si>
  <si>
    <t>白河</t>
  </si>
  <si>
    <t>矢吹</t>
  </si>
  <si>
    <t>石川</t>
  </si>
  <si>
    <t>棚倉</t>
  </si>
  <si>
    <t>塙</t>
  </si>
  <si>
    <t>白河市役所</t>
  </si>
  <si>
    <t>白河西</t>
  </si>
  <si>
    <t>浅川</t>
  </si>
  <si>
    <t>新白河</t>
  </si>
  <si>
    <t>会津</t>
  </si>
  <si>
    <t>会津本町</t>
  </si>
  <si>
    <t>猪苗代</t>
  </si>
  <si>
    <t>塩川</t>
  </si>
  <si>
    <t>喜多方</t>
  </si>
  <si>
    <t>坂下</t>
  </si>
  <si>
    <t>高田</t>
  </si>
  <si>
    <t>会津下郷</t>
  </si>
  <si>
    <t>田島</t>
  </si>
  <si>
    <t>山口</t>
  </si>
  <si>
    <t>只見</t>
  </si>
  <si>
    <t>川口</t>
  </si>
  <si>
    <t>会津若松市役所</t>
  </si>
  <si>
    <t>竹田綜合病院</t>
  </si>
  <si>
    <t>門田</t>
  </si>
  <si>
    <t>滝沢</t>
  </si>
  <si>
    <t>会津アピオ</t>
  </si>
  <si>
    <t>ローンプラザ会津</t>
  </si>
  <si>
    <t>原町</t>
  </si>
  <si>
    <t>相馬</t>
  </si>
  <si>
    <t>小高</t>
  </si>
  <si>
    <t>浪江</t>
  </si>
  <si>
    <t>富岡</t>
  </si>
  <si>
    <t>双葉</t>
  </si>
  <si>
    <t>楢葉</t>
  </si>
  <si>
    <t>大熊</t>
  </si>
  <si>
    <t>平西</t>
  </si>
  <si>
    <t>内郷</t>
  </si>
  <si>
    <t>湯本</t>
  </si>
  <si>
    <t>小名浜</t>
  </si>
  <si>
    <t>植田</t>
  </si>
  <si>
    <t>勿来</t>
  </si>
  <si>
    <t>いわき市役所</t>
  </si>
  <si>
    <t>谷川瀬</t>
  </si>
  <si>
    <t>四倉</t>
  </si>
  <si>
    <t>いわき泉</t>
  </si>
  <si>
    <t>神谷</t>
  </si>
  <si>
    <t>いわき鹿島</t>
  </si>
  <si>
    <t>東京</t>
  </si>
  <si>
    <t>仙台</t>
  </si>
  <si>
    <t>日立</t>
  </si>
  <si>
    <t>宇都宮</t>
  </si>
  <si>
    <t>水戸</t>
  </si>
  <si>
    <t>新潟</t>
  </si>
  <si>
    <t>新宿</t>
  </si>
  <si>
    <t>仙台東</t>
  </si>
  <si>
    <t>名取</t>
  </si>
  <si>
    <t>米沢</t>
  </si>
  <si>
    <t>仙台泉</t>
  </si>
  <si>
    <t>仙台南</t>
  </si>
  <si>
    <t>インターネット</t>
  </si>
  <si>
    <t>本店</t>
  </si>
  <si>
    <t>郡山</t>
  </si>
  <si>
    <t>いわき</t>
  </si>
  <si>
    <t>喜多方中央</t>
  </si>
  <si>
    <t>熱塩加納</t>
  </si>
  <si>
    <t>北塩原</t>
  </si>
  <si>
    <t>山都</t>
  </si>
  <si>
    <t>西会津</t>
  </si>
  <si>
    <t>奥川</t>
  </si>
  <si>
    <t>高郷</t>
  </si>
  <si>
    <t>湊</t>
  </si>
  <si>
    <t>会津若松</t>
  </si>
  <si>
    <t>北会津</t>
  </si>
  <si>
    <t>磐梯</t>
  </si>
  <si>
    <t>猪苗代中央</t>
  </si>
  <si>
    <t>猪苗代東</t>
  </si>
  <si>
    <t>河東</t>
  </si>
  <si>
    <t>下郷</t>
  </si>
  <si>
    <t>舘岩</t>
  </si>
  <si>
    <t>伊南</t>
  </si>
  <si>
    <t>南郷</t>
  </si>
  <si>
    <t>檜枝岐</t>
  </si>
  <si>
    <t>若宮</t>
  </si>
  <si>
    <t>金上</t>
  </si>
  <si>
    <t>広瀬</t>
  </si>
  <si>
    <t>柳津</t>
  </si>
  <si>
    <t>三島</t>
  </si>
  <si>
    <t>昭和</t>
  </si>
  <si>
    <t>金山</t>
  </si>
  <si>
    <t>永井野</t>
  </si>
  <si>
    <t>本郷</t>
  </si>
  <si>
    <t>新鶴</t>
  </si>
  <si>
    <t>湯川</t>
  </si>
  <si>
    <t>マクロ</t>
  </si>
  <si>
    <t>小学校の金額</t>
  </si>
  <si>
    <t>中学校の金額</t>
  </si>
  <si>
    <t>円</t>
  </si>
  <si>
    <t>住所</t>
  </si>
  <si>
    <t>住所</t>
    <rPh sb="0" eb="2">
      <t xml:space="preserve">ジュウショ </t>
    </rPh>
    <phoneticPr fontId="2"/>
  </si>
  <si>
    <t>小学校教員の金額</t>
  </si>
  <si>
    <t>中学校教員の金額</t>
  </si>
  <si>
    <t>福島 A</t>
  </si>
  <si>
    <t>福島 B</t>
  </si>
  <si>
    <t>口座名義(漢字)</t>
  </si>
  <si>
    <t>振替日(東邦銀行)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</si>
</sst>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charset val="128"/>
      <scheme val="minor"/>
    </font>
    <font>
      <sz val="9"/>
      <color theme="1"/>
      <name val="HGSｺﾞｼｯｸM"/>
      <family val="3"/>
      <charset val="128"/>
    </font>
    <font>
      <sz val="6"/>
      <name val="Calibri"/>
      <family val="2"/>
      <charset val="128"/>
      <scheme val="minor"/>
    </font>
    <font>
      <sz val="9"/>
      <color theme="1"/>
      <name val="HGPｺﾞｼｯｸM"/>
      <family val="3"/>
      <charset val="128"/>
    </font>
    <font>
      <sz val="8"/>
      <color theme="1"/>
      <name val="HGSｺﾞｼｯｸM"/>
      <family val="3"/>
      <charset val="128"/>
    </font>
    <font>
      <sz val="12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5"/>
      <color rgb="FFCCCCCC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indexed="64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7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shrinkToFit="1"/>
    </xf>
    <xf numFmtId="0" fontId="1" fillId="9" borderId="1" xfId="0" applyFont="1" applyFill="1" applyBorder="1" applyAlignment="1">
      <alignment horizontal="center" vertical="center"/>
    </xf>
    <xf numFmtId="0" fontId="1" fillId="10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3" fillId="10" borderId="8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3" fillId="11" borderId="8" xfId="0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0" fontId="1" fillId="13" borderId="2" xfId="0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vertical="center" wrapText="1"/>
    </xf>
    <xf numFmtId="0" fontId="7" fillId="0" borderId="0" xfId="0" applyFont="1">
      <alignment vertical="center"/>
    </xf>
    <xf numFmtId="0" fontId="0" fillId="0" borderId="2" xfId="0" applyBorder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0" fontId="1" fillId="11" borderId="9" xfId="0" applyFont="1" applyFill="1" applyBorder="1" applyAlignment="1">
      <alignment horizontal="center" vertical="center"/>
    </xf>
    <xf numFmtId="0" fontId="1" fillId="11" borderId="10" xfId="0" applyFont="1" applyFill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/>
    </xf>
    <xf numFmtId="0" fontId="1" fillId="10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0" xfId="0" applyFont="1">
      <alignment vertical="center"/>
    </xf>
    <xf numFmtId="0" fontId="1" fillId="0" borderId="2" xfId="0" applyFont="1" applyBorder="1">
      <alignment vertical="center"/>
    </xf>
    <xf numFmtId="0" fontId="1" fillId="2" borderId="11" xfId="0" applyFont="1" applyFill="1" applyBorder="1" applyAlignment="1">
      <alignment horizontal="center" vertical="center"/>
    </xf>
    <xf numFmtId="17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DCDB"/>
      <color rgb="FFB7DEE8"/>
      <color rgb="FF92D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566737</xdr:colOff>
      <xdr:row>5</xdr:row>
      <xdr:rowOff>33338</xdr:rowOff>
    </xdr:from>
    <xdr:to>
      <xdr:col>7</xdr:col>
      <xdr:colOff>452437</xdr:colOff>
      <xdr:row>8</xdr:row>
      <xdr:rowOff>138113</xdr:rowOff>
    </xdr:to>
    <xdr:sp macro="[0]!ExecuteToho" textlink="">
      <xdr:nvSpPr>
        <xdr:cNvPr id="2" name="正方形/長方形 1">
          <a:extLst>
            <a:ext uri="{FF2B5EF4-FFF2-40B4-BE49-F238E27FC236}">
              <a16:creationId xmlns:a16="http://schemas.microsoft.com/office/drawing/2014/main" id="{0629E338-FCC9-F166-C1ED-EF17FEF45708}"/>
            </a:ext>
          </a:extLst>
        </xdr:cNvPr>
        <xdr:cNvSpPr/>
      </xdr:nvSpPr>
      <xdr:spPr>
        <a:xfrm>
          <a:off x="3157537" y="938213"/>
          <a:ext cx="182880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東邦銀行向け</a:t>
          </a: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データ作成</a:t>
          </a:r>
        </a:p>
      </xdr:txBody>
    </xdr:sp>
    <xdr:clientData/>
  </xdr:twoCellAnchor>
  <xdr:twoCellAnchor>
    <xdr:from>
      <xdr:col>4</xdr:col>
      <xdr:colOff>571500</xdr:colOff>
      <xdr:row>10</xdr:row>
      <xdr:rowOff>0</xdr:rowOff>
    </xdr:from>
    <xdr:to>
      <xdr:col>7</xdr:col>
      <xdr:colOff>457200</xdr:colOff>
      <xdr:row>13</xdr:row>
      <xdr:rowOff>104775</xdr:rowOff>
    </xdr:to>
    <xdr:sp macro="[0]!ExecuteJA" textlink="">
      <xdr:nvSpPr>
        <xdr:cNvPr id="3" name="正方形/長方形 2">
          <a:extLst>
            <a:ext uri="{FF2B5EF4-FFF2-40B4-BE49-F238E27FC236}">
              <a16:creationId xmlns:a16="http://schemas.microsoft.com/office/drawing/2014/main" id="{498C9564-5F67-4BFB-B36F-8A0F37C21844}"/>
            </a:ext>
          </a:extLst>
        </xdr:cNvPr>
        <xdr:cNvSpPr/>
      </xdr:nvSpPr>
      <xdr:spPr>
        <a:xfrm>
          <a:off x="3162300" y="1809750"/>
          <a:ext cx="182880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JA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よつば向け</a:t>
          </a: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データ作成</a:t>
          </a:r>
        </a:p>
      </xdr:txBody>
    </xdr:sp>
    <xdr:clientData/>
  </xdr:twoCellAnchor>
  <xdr:twoCellAnchor>
    <xdr:from>
      <xdr:col>4</xdr:col>
      <xdr:colOff>552450</xdr:colOff>
      <xdr:row>15</xdr:row>
      <xdr:rowOff>66675</xdr:rowOff>
    </xdr:from>
    <xdr:to>
      <xdr:col>7</xdr:col>
      <xdr:colOff>438150</xdr:colOff>
      <xdr:row>18</xdr:row>
      <xdr:rowOff>171450</xdr:rowOff>
    </xdr:to>
    <xdr:sp macro="[0]!ExecuteMigration" textlink="">
      <xdr:nvSpPr>
        <xdr:cNvPr id="4" name="正方形/長方形 3">
          <a:extLst>
            <a:ext uri="{FF2B5EF4-FFF2-40B4-BE49-F238E27FC236}">
              <a16:creationId xmlns:a16="http://schemas.microsoft.com/office/drawing/2014/main" id="{315577BF-DD96-4B05-92D0-A395EEC5CFAC}"/>
            </a:ext>
          </a:extLst>
        </xdr:cNvPr>
        <xdr:cNvSpPr/>
      </xdr:nvSpPr>
      <xdr:spPr>
        <a:xfrm>
          <a:off x="3143250" y="2781300"/>
          <a:ext cx="1828800" cy="6477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学年移行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Q138"/>
  <sheetViews>
    <sheetView view="pageBreakPreview" topLeftCell="I1" zoomScaleNormal="100" zoomScaleSheetLayoutView="100" workbookViewId="0">
      <pane ySplit="1" topLeftCell="A2" activePane="bottomLeft" state="frozen"/>
      <selection pane="bottomLeft" activeCell="N2" sqref="N2:N8"/>
    </sheetView>
  </sheetViews>
  <sheetFormatPr baseColWidth="10" defaultColWidth="9" defaultRowHeight="21.75" customHeight="1"/>
  <cols>
    <col min="1" max="1" width="3.33203125" style="1" customWidth="1"/>
    <col min="2" max="2" width="4.33203125" style="1" customWidth="1"/>
    <col min="3" max="3" width="13.83203125" style="1" customWidth="1"/>
    <col min="4" max="5" width="8.6640625" style="1" customWidth="1"/>
    <col min="6" max="6" width="10.83203125" style="1" customWidth="1"/>
    <col min="7" max="7" width="12.5" style="1" customWidth="1"/>
    <col min="8" max="9" width="12.1640625" style="1" customWidth="1"/>
    <col min="10" max="10" width="11.5" style="1" bestFit="1" customWidth="1"/>
    <col min="11" max="11" width="28.6640625" style="1" customWidth="1"/>
    <col min="12" max="12" width="12.1640625" style="1" bestFit="1" customWidth="1"/>
    <col min="13" max="13" width="7.1640625" style="1" bestFit="1" customWidth="1"/>
    <col min="14" max="14" width="7" style="1" bestFit="1" customWidth="1"/>
    <col min="15" max="16384" width="9" style="1"/>
  </cols>
  <sheetData>
    <row r="1" spans="1:14" ht="24" customHeight="1" thickBot="1">
      <c r="A1" s="26" t="s">
        <v>0</v>
      </c>
      <c r="B1" s="27" t="s">
        <v>1</v>
      </c>
      <c r="C1" s="27" t="s">
        <v>2</v>
      </c>
      <c r="D1" s="27" t="s">
        <v>3</v>
      </c>
      <c r="E1" s="27" t="s">
        <v>4</v>
      </c>
      <c r="F1" s="27" t="s">
        <v>5</v>
      </c>
      <c r="G1" s="27" t="s">
        <v>559</v>
      </c>
      <c r="H1" s="27" t="s">
        <v>6</v>
      </c>
      <c r="I1" s="27" t="s">
        <v>7</v>
      </c>
      <c r="J1" s="28" t="s">
        <v>8</v>
      </c>
      <c r="K1" s="56" t="s">
        <v>553</v>
      </c>
      <c r="L1" s="1" t="s">
        <v>9</v>
      </c>
      <c r="M1" s="1">
        <f>COUNT(A2:A117)</f>
        <v>88</v>
      </c>
      <c r="N1" s="1" t="s">
        <v>10</v>
      </c>
    </row>
    <row r="2" spans="1:14" ht="18.75" customHeight="1">
      <c r="A2" s="2">
        <v>1</v>
      </c>
      <c r="B2" s="2">
        <v>1</v>
      </c>
      <c r="C2" s="2" t="s">
        <v>139</v>
      </c>
      <c r="D2" s="2" t="s">
        <v>106</v>
      </c>
      <c r="E2" s="2" t="s">
        <v>107</v>
      </c>
      <c r="F2" s="10" t="s">
        <v>12</v>
      </c>
      <c r="G2" s="7" t="s">
        <v>145</v>
      </c>
      <c r="H2" s="2" t="s">
        <v>199</v>
      </c>
      <c r="I2" s="2" t="s">
        <v>46</v>
      </c>
      <c r="J2" s="2">
        <v>8004675</v>
      </c>
      <c r="K2" s="7"/>
    </row>
    <row r="3" spans="1:14" ht="18.75" customHeight="1">
      <c r="A3" s="7">
        <v>2</v>
      </c>
      <c r="B3" s="7">
        <v>1</v>
      </c>
      <c r="C3" s="7" t="s">
        <v>140</v>
      </c>
      <c r="D3" s="7" t="s">
        <v>108</v>
      </c>
      <c r="E3" s="7"/>
      <c r="F3" s="9" t="s">
        <v>11</v>
      </c>
      <c r="G3" s="7" t="s">
        <v>145</v>
      </c>
      <c r="H3" s="7" t="s">
        <v>201</v>
      </c>
      <c r="I3" s="7">
        <v>18250</v>
      </c>
      <c r="J3" s="7">
        <v>7465208</v>
      </c>
      <c r="K3" s="7"/>
    </row>
    <row r="4" spans="1:14" ht="18.75" customHeight="1">
      <c r="A4" s="16">
        <v>3</v>
      </c>
      <c r="B4" s="16">
        <v>1</v>
      </c>
      <c r="C4" s="16" t="s">
        <v>141</v>
      </c>
      <c r="D4" s="16" t="s">
        <v>113</v>
      </c>
      <c r="E4" s="16"/>
      <c r="F4" s="18" t="s">
        <v>19</v>
      </c>
      <c r="G4" s="2" t="s">
        <v>557</v>
      </c>
      <c r="H4" s="16" t="s">
        <v>203</v>
      </c>
      <c r="I4" s="16" t="s">
        <v>40</v>
      </c>
      <c r="J4" s="16">
        <v>4142667</v>
      </c>
      <c r="K4" s="7"/>
    </row>
    <row r="5" spans="1:14" ht="18.75" customHeight="1">
      <c r="A5" s="7">
        <v>4</v>
      </c>
      <c r="B5" s="7">
        <v>1</v>
      </c>
      <c r="C5" s="7" t="s">
        <v>142</v>
      </c>
      <c r="D5" s="7" t="s">
        <v>111</v>
      </c>
      <c r="E5" s="7" t="s">
        <v>106</v>
      </c>
      <c r="F5" s="10" t="s">
        <v>12</v>
      </c>
      <c r="G5" s="7" t="s">
        <v>145</v>
      </c>
      <c r="H5" s="7" t="s">
        <v>205</v>
      </c>
      <c r="I5" s="7" t="s">
        <v>40</v>
      </c>
      <c r="J5" s="7">
        <v>7532782</v>
      </c>
      <c r="K5" s="7"/>
    </row>
    <row r="6" spans="1:14" ht="18.75" customHeight="1">
      <c r="A6" s="7">
        <v>5</v>
      </c>
      <c r="B6" s="7">
        <v>1</v>
      </c>
      <c r="C6" s="7" t="s">
        <v>143</v>
      </c>
      <c r="D6" s="7" t="s">
        <v>106</v>
      </c>
      <c r="E6" s="7" t="s">
        <v>105</v>
      </c>
      <c r="F6" s="8" t="s">
        <v>25</v>
      </c>
      <c r="G6" s="2" t="s">
        <v>558</v>
      </c>
      <c r="H6" s="7" t="s">
        <v>207</v>
      </c>
      <c r="I6" s="7" t="s">
        <v>98</v>
      </c>
      <c r="J6" s="7">
        <v>2766477</v>
      </c>
      <c r="K6" s="7"/>
    </row>
    <row r="7" spans="1:14" ht="18.75" customHeight="1">
      <c r="A7" s="7">
        <v>6</v>
      </c>
      <c r="B7" s="7">
        <v>1</v>
      </c>
      <c r="C7" s="7" t="s">
        <v>144</v>
      </c>
      <c r="D7" s="7" t="s">
        <v>107</v>
      </c>
      <c r="E7" s="7" t="s">
        <v>106</v>
      </c>
      <c r="F7" s="10" t="s">
        <v>12</v>
      </c>
      <c r="G7" s="2" t="s">
        <v>558</v>
      </c>
      <c r="H7" s="7" t="s">
        <v>209</v>
      </c>
      <c r="I7" s="7" t="s">
        <v>77</v>
      </c>
      <c r="J7" s="7">
        <v>3034254</v>
      </c>
      <c r="K7" s="7"/>
    </row>
    <row r="8" spans="1:14" ht="18.75" customHeight="1">
      <c r="A8" s="7">
        <v>7</v>
      </c>
      <c r="B8" s="7">
        <v>1</v>
      </c>
      <c r="C8" s="7" t="s">
        <v>145</v>
      </c>
      <c r="D8" s="7" t="s">
        <v>111</v>
      </c>
      <c r="E8" s="7" t="s">
        <v>108</v>
      </c>
      <c r="F8" s="9" t="s">
        <v>11</v>
      </c>
      <c r="G8" s="7" t="s">
        <v>145</v>
      </c>
      <c r="H8" s="7" t="s">
        <v>211</v>
      </c>
      <c r="I8" s="7">
        <v>18290</v>
      </c>
      <c r="J8" s="7">
        <v>8128057</v>
      </c>
      <c r="K8" s="7"/>
    </row>
    <row r="9" spans="1:14" ht="18.75" customHeight="1">
      <c r="A9" s="7">
        <v>8</v>
      </c>
      <c r="B9" s="7">
        <v>1</v>
      </c>
      <c r="C9" s="7" t="s">
        <v>146</v>
      </c>
      <c r="D9" s="7" t="s">
        <v>104</v>
      </c>
      <c r="E9" s="7" t="s">
        <v>108</v>
      </c>
      <c r="F9" s="8" t="s">
        <v>25</v>
      </c>
      <c r="G9" s="7" t="s">
        <v>145</v>
      </c>
      <c r="H9" s="7" t="s">
        <v>215</v>
      </c>
      <c r="I9" s="7" t="s">
        <v>38</v>
      </c>
      <c r="J9" s="7">
        <v>5002885</v>
      </c>
      <c r="K9" s="7"/>
    </row>
    <row r="10" spans="1:14" ht="18.75" customHeight="1">
      <c r="A10" s="7">
        <v>9</v>
      </c>
      <c r="B10" s="7">
        <v>1</v>
      </c>
      <c r="C10" s="7" t="s">
        <v>147</v>
      </c>
      <c r="D10" s="7" t="s">
        <v>107</v>
      </c>
      <c r="E10" s="7" t="s">
        <v>111</v>
      </c>
      <c r="F10" s="10" t="s">
        <v>12</v>
      </c>
      <c r="G10" s="7" t="s">
        <v>147</v>
      </c>
      <c r="H10" s="7" t="s">
        <v>219</v>
      </c>
      <c r="I10" s="7" t="s">
        <v>62</v>
      </c>
      <c r="J10" s="7">
        <v>7165584</v>
      </c>
      <c r="K10" s="7"/>
    </row>
    <row r="11" spans="1:14" ht="18.75" customHeight="1">
      <c r="A11" s="7">
        <v>10</v>
      </c>
      <c r="B11" s="7">
        <v>1</v>
      </c>
      <c r="C11" s="7" t="s">
        <v>148</v>
      </c>
      <c r="D11" s="7" t="s">
        <v>107</v>
      </c>
      <c r="E11" s="7"/>
      <c r="F11" s="10" t="s">
        <v>12</v>
      </c>
      <c r="G11" s="7" t="s">
        <v>145</v>
      </c>
      <c r="H11" s="7" t="s">
        <v>223</v>
      </c>
      <c r="I11" s="7" t="s">
        <v>45</v>
      </c>
      <c r="J11" s="7">
        <v>1531548</v>
      </c>
      <c r="K11" s="7"/>
    </row>
    <row r="12" spans="1:14" ht="18.75" customHeight="1">
      <c r="A12" s="7">
        <v>11</v>
      </c>
      <c r="B12" s="7">
        <v>1</v>
      </c>
      <c r="C12" s="7" t="s">
        <v>149</v>
      </c>
      <c r="D12" s="7" t="s">
        <v>106</v>
      </c>
      <c r="E12" s="7" t="s">
        <v>109</v>
      </c>
      <c r="F12" s="10" t="s">
        <v>12</v>
      </c>
      <c r="G12" s="2" t="s">
        <v>558</v>
      </c>
      <c r="H12" s="7" t="s">
        <v>225</v>
      </c>
      <c r="I12" s="7" t="s">
        <v>103</v>
      </c>
      <c r="J12" s="7">
        <v>5945781</v>
      </c>
      <c r="K12" s="7"/>
    </row>
    <row r="13" spans="1:14" ht="18.75" customHeight="1">
      <c r="A13" s="2">
        <v>1</v>
      </c>
      <c r="B13" s="2">
        <v>2</v>
      </c>
      <c r="C13" s="2" t="s">
        <v>150</v>
      </c>
      <c r="D13" s="2" t="s">
        <v>105</v>
      </c>
      <c r="E13" s="2" t="s">
        <v>107</v>
      </c>
      <c r="F13" s="3" t="s">
        <v>82</v>
      </c>
      <c r="G13" s="7" t="s">
        <v>145</v>
      </c>
      <c r="H13" s="7" t="s">
        <v>207</v>
      </c>
      <c r="I13" s="2" t="s">
        <v>83</v>
      </c>
      <c r="J13" s="2">
        <v>7488641</v>
      </c>
      <c r="K13" s="7"/>
    </row>
    <row r="14" spans="1:14" ht="18.75" customHeight="1">
      <c r="A14" s="15">
        <v>2</v>
      </c>
      <c r="B14" s="15">
        <v>2</v>
      </c>
      <c r="C14" s="15" t="s">
        <v>151</v>
      </c>
      <c r="D14" s="15" t="s">
        <v>104</v>
      </c>
      <c r="E14" s="15" t="s">
        <v>104</v>
      </c>
      <c r="F14" s="9" t="s">
        <v>84</v>
      </c>
      <c r="G14" s="7" t="s">
        <v>145</v>
      </c>
      <c r="H14" s="15" t="s">
        <v>227</v>
      </c>
      <c r="I14" s="15">
        <v>18240</v>
      </c>
      <c r="J14" s="15">
        <v>1548246</v>
      </c>
      <c r="K14" s="7"/>
    </row>
    <row r="15" spans="1:14" ht="18.75" customHeight="1">
      <c r="A15" s="7">
        <v>3</v>
      </c>
      <c r="B15" s="7">
        <v>2</v>
      </c>
      <c r="C15" s="7" t="s">
        <v>152</v>
      </c>
      <c r="D15" s="7" t="s">
        <v>106</v>
      </c>
      <c r="E15" s="7" t="s">
        <v>113</v>
      </c>
      <c r="F15" s="10" t="s">
        <v>82</v>
      </c>
      <c r="G15" s="7" t="s">
        <v>147</v>
      </c>
      <c r="H15" s="7" t="s">
        <v>229</v>
      </c>
      <c r="I15" s="7" t="s">
        <v>40</v>
      </c>
      <c r="J15" s="7">
        <v>9444351</v>
      </c>
      <c r="K15" s="7"/>
    </row>
    <row r="16" spans="1:14" ht="18.75" customHeight="1">
      <c r="A16" s="7">
        <v>4</v>
      </c>
      <c r="B16" s="7">
        <v>2</v>
      </c>
      <c r="C16" s="7" t="s">
        <v>151</v>
      </c>
      <c r="D16" s="7" t="s">
        <v>107</v>
      </c>
      <c r="E16" s="7" t="s">
        <v>104</v>
      </c>
      <c r="F16" s="10" t="s">
        <v>82</v>
      </c>
      <c r="G16" s="7" t="s">
        <v>145</v>
      </c>
      <c r="H16" s="7" t="s">
        <v>231</v>
      </c>
      <c r="I16" s="7" t="s">
        <v>85</v>
      </c>
      <c r="J16" s="7">
        <v>2914321</v>
      </c>
      <c r="K16" s="7"/>
    </row>
    <row r="17" spans="1:11" ht="18.75" customHeight="1">
      <c r="A17" s="7">
        <v>5</v>
      </c>
      <c r="B17" s="7">
        <v>2</v>
      </c>
      <c r="C17" s="7" t="s">
        <v>153</v>
      </c>
      <c r="D17" s="7" t="s">
        <v>104</v>
      </c>
      <c r="E17" s="7" t="s">
        <v>108</v>
      </c>
      <c r="F17" s="9" t="s">
        <v>84</v>
      </c>
      <c r="G17" s="2" t="s">
        <v>558</v>
      </c>
      <c r="H17" s="7" t="s">
        <v>207</v>
      </c>
      <c r="I17" s="7">
        <v>18270</v>
      </c>
      <c r="J17" s="7">
        <v>1664817</v>
      </c>
      <c r="K17" s="7"/>
    </row>
    <row r="18" spans="1:11" ht="18.75" customHeight="1">
      <c r="A18" s="7">
        <v>6</v>
      </c>
      <c r="B18" s="7">
        <v>2</v>
      </c>
      <c r="C18" s="7" t="s">
        <v>154</v>
      </c>
      <c r="D18" s="7" t="s">
        <v>109</v>
      </c>
      <c r="E18" s="7" t="s">
        <v>104</v>
      </c>
      <c r="F18" s="8" t="s">
        <v>25</v>
      </c>
      <c r="G18" s="7" t="s">
        <v>145</v>
      </c>
      <c r="H18" s="7" t="s">
        <v>233</v>
      </c>
      <c r="I18" s="7" t="s">
        <v>86</v>
      </c>
      <c r="J18" s="7">
        <v>6398130</v>
      </c>
      <c r="K18" s="7"/>
    </row>
    <row r="19" spans="1:11" ht="18.75" customHeight="1">
      <c r="A19" s="7">
        <v>7</v>
      </c>
      <c r="B19" s="7">
        <v>2</v>
      </c>
      <c r="C19" s="7" t="s">
        <v>155</v>
      </c>
      <c r="D19" s="7" t="s">
        <v>108</v>
      </c>
      <c r="E19" s="7" t="s">
        <v>111</v>
      </c>
      <c r="F19" s="10" t="s">
        <v>82</v>
      </c>
      <c r="G19" s="7" t="s">
        <v>145</v>
      </c>
      <c r="H19" s="7" t="s">
        <v>211</v>
      </c>
      <c r="I19" s="7" t="s">
        <v>85</v>
      </c>
      <c r="J19" s="7">
        <v>3300901</v>
      </c>
      <c r="K19" s="7"/>
    </row>
    <row r="20" spans="1:11" ht="18.75" customHeight="1">
      <c r="A20" s="7">
        <v>8</v>
      </c>
      <c r="B20" s="7">
        <v>2</v>
      </c>
      <c r="C20" s="7" t="s">
        <v>156</v>
      </c>
      <c r="D20" s="7" t="s">
        <v>106</v>
      </c>
      <c r="E20" s="7" t="s">
        <v>107</v>
      </c>
      <c r="F20" s="8" t="s">
        <v>25</v>
      </c>
      <c r="G20" s="7" t="s">
        <v>147</v>
      </c>
      <c r="H20" s="7" t="s">
        <v>235</v>
      </c>
      <c r="I20" s="7" t="s">
        <v>87</v>
      </c>
      <c r="J20" s="7">
        <v>2280659</v>
      </c>
      <c r="K20" s="7"/>
    </row>
    <row r="21" spans="1:11" ht="18.75" customHeight="1">
      <c r="A21" s="7">
        <v>9</v>
      </c>
      <c r="B21" s="7">
        <v>2</v>
      </c>
      <c r="C21" s="7" t="s">
        <v>157</v>
      </c>
      <c r="D21" s="7" t="s">
        <v>105</v>
      </c>
      <c r="E21" s="7" t="s">
        <v>107</v>
      </c>
      <c r="F21" s="10" t="s">
        <v>82</v>
      </c>
      <c r="G21" s="7" t="s">
        <v>145</v>
      </c>
      <c r="H21" s="7" t="s">
        <v>237</v>
      </c>
      <c r="I21" s="7" t="s">
        <v>88</v>
      </c>
      <c r="J21" s="7">
        <v>1952881</v>
      </c>
      <c r="K21" s="7"/>
    </row>
    <row r="22" spans="1:11" ht="18.75" customHeight="1">
      <c r="A22" s="7">
        <v>10</v>
      </c>
      <c r="B22" s="7">
        <v>2</v>
      </c>
      <c r="C22" s="7" t="s">
        <v>146</v>
      </c>
      <c r="D22" s="7" t="s">
        <v>110</v>
      </c>
      <c r="E22" s="7" t="s">
        <v>107</v>
      </c>
      <c r="F22" s="10" t="s">
        <v>82</v>
      </c>
      <c r="G22" s="2" t="s">
        <v>558</v>
      </c>
      <c r="H22" s="7" t="s">
        <v>215</v>
      </c>
      <c r="I22" s="7" t="s">
        <v>88</v>
      </c>
      <c r="J22" s="7">
        <v>4545103</v>
      </c>
      <c r="K22" s="7"/>
    </row>
    <row r="23" spans="1:11" ht="18.75" customHeight="1">
      <c r="A23" s="7">
        <v>11</v>
      </c>
      <c r="B23" s="7">
        <v>2</v>
      </c>
      <c r="C23" s="7" t="s">
        <v>145</v>
      </c>
      <c r="D23" s="7" t="s">
        <v>110</v>
      </c>
      <c r="E23" s="7" t="s">
        <v>110</v>
      </c>
      <c r="F23" s="10" t="s">
        <v>82</v>
      </c>
      <c r="G23" s="7" t="s">
        <v>145</v>
      </c>
      <c r="H23" s="7" t="s">
        <v>239</v>
      </c>
      <c r="I23" s="7" t="s">
        <v>89</v>
      </c>
      <c r="J23" s="7">
        <v>1478260</v>
      </c>
      <c r="K23" s="7"/>
    </row>
    <row r="24" spans="1:11" ht="18.75" customHeight="1">
      <c r="A24" s="7">
        <v>12</v>
      </c>
      <c r="B24" s="7">
        <v>2</v>
      </c>
      <c r="C24" s="7" t="s">
        <v>158</v>
      </c>
      <c r="D24" s="7" t="s">
        <v>110</v>
      </c>
      <c r="E24" s="7" t="s">
        <v>112</v>
      </c>
      <c r="F24" s="10" t="s">
        <v>82</v>
      </c>
      <c r="G24" s="2" t="s">
        <v>558</v>
      </c>
      <c r="H24" s="7" t="s">
        <v>241</v>
      </c>
      <c r="I24" s="7" t="s">
        <v>88</v>
      </c>
      <c r="J24" s="7">
        <v>3194302</v>
      </c>
      <c r="K24" s="7"/>
    </row>
    <row r="25" spans="1:11" ht="18.75" customHeight="1">
      <c r="A25" s="7">
        <v>13</v>
      </c>
      <c r="B25" s="7">
        <v>2</v>
      </c>
      <c r="C25" s="7" t="s">
        <v>159</v>
      </c>
      <c r="D25" s="7" t="s">
        <v>111</v>
      </c>
      <c r="E25" s="7" t="s">
        <v>104</v>
      </c>
      <c r="F25" s="10" t="s">
        <v>82</v>
      </c>
      <c r="G25" s="7" t="s">
        <v>145</v>
      </c>
      <c r="H25" s="7" t="s">
        <v>205</v>
      </c>
      <c r="I25" s="7" t="s">
        <v>88</v>
      </c>
      <c r="J25" s="7">
        <v>529700</v>
      </c>
      <c r="K25" s="7"/>
    </row>
    <row r="26" spans="1:11" ht="18.75" customHeight="1">
      <c r="A26" s="7">
        <v>14</v>
      </c>
      <c r="B26" s="7">
        <v>2</v>
      </c>
      <c r="C26" s="7" t="s">
        <v>160</v>
      </c>
      <c r="D26" s="7" t="s">
        <v>107</v>
      </c>
      <c r="E26" s="7" t="s">
        <v>106</v>
      </c>
      <c r="F26" s="9" t="s">
        <v>84</v>
      </c>
      <c r="G26" s="7" t="s">
        <v>145</v>
      </c>
      <c r="H26" s="7" t="s">
        <v>243</v>
      </c>
      <c r="I26" s="7">
        <v>18250</v>
      </c>
      <c r="J26" s="7">
        <v>4171952</v>
      </c>
      <c r="K26" s="7"/>
    </row>
    <row r="27" spans="1:11" ht="18.75" customHeight="1">
      <c r="A27" s="15">
        <v>1</v>
      </c>
      <c r="B27" s="15">
        <v>3</v>
      </c>
      <c r="C27" s="15" t="s">
        <v>161</v>
      </c>
      <c r="D27" s="15" t="s">
        <v>104</v>
      </c>
      <c r="E27" s="15" t="s">
        <v>111</v>
      </c>
      <c r="F27" s="15" t="s">
        <v>94</v>
      </c>
      <c r="G27" s="7" t="s">
        <v>147</v>
      </c>
      <c r="H27" s="15" t="s">
        <v>245</v>
      </c>
      <c r="I27" s="15" t="s">
        <v>95</v>
      </c>
      <c r="J27" s="15">
        <v>43699501</v>
      </c>
      <c r="K27" s="53"/>
    </row>
    <row r="28" spans="1:11" ht="18.75" customHeight="1">
      <c r="A28" s="7">
        <v>2</v>
      </c>
      <c r="B28" s="7">
        <v>3</v>
      </c>
      <c r="C28" s="7" t="s">
        <v>162</v>
      </c>
      <c r="D28" s="7" t="s">
        <v>107</v>
      </c>
      <c r="E28" s="7" t="s">
        <v>105</v>
      </c>
      <c r="F28" s="10" t="s">
        <v>67</v>
      </c>
      <c r="G28" s="7" t="s">
        <v>145</v>
      </c>
      <c r="H28" s="7" t="s">
        <v>247</v>
      </c>
      <c r="I28" s="7" t="s">
        <v>30</v>
      </c>
      <c r="J28" s="7">
        <v>9354679</v>
      </c>
      <c r="K28" s="7"/>
    </row>
    <row r="29" spans="1:11" ht="18.75" customHeight="1">
      <c r="A29" s="7">
        <v>3</v>
      </c>
      <c r="B29" s="7">
        <v>3</v>
      </c>
      <c r="C29" s="7" t="s">
        <v>163</v>
      </c>
      <c r="D29" s="7" t="s">
        <v>104</v>
      </c>
      <c r="E29" s="7" t="s">
        <v>112</v>
      </c>
      <c r="F29" s="10" t="s">
        <v>67</v>
      </c>
      <c r="G29" s="2" t="s">
        <v>558</v>
      </c>
      <c r="H29" s="7" t="s">
        <v>249</v>
      </c>
      <c r="I29" s="7" t="s">
        <v>68</v>
      </c>
      <c r="J29" s="7">
        <v>6019294</v>
      </c>
      <c r="K29" s="7"/>
    </row>
    <row r="30" spans="1:11" ht="18.75" customHeight="1">
      <c r="A30" s="15">
        <v>4</v>
      </c>
      <c r="B30" s="15">
        <v>3</v>
      </c>
      <c r="C30" s="15" t="s">
        <v>156</v>
      </c>
      <c r="D30" s="15" t="s">
        <v>113</v>
      </c>
      <c r="E30" s="15" t="s">
        <v>110</v>
      </c>
      <c r="F30" s="10" t="s">
        <v>67</v>
      </c>
      <c r="G30" s="7" t="s">
        <v>145</v>
      </c>
      <c r="H30" s="15" t="s">
        <v>251</v>
      </c>
      <c r="I30" s="15" t="s">
        <v>69</v>
      </c>
      <c r="J30" s="15">
        <v>43040371</v>
      </c>
      <c r="K30" s="7"/>
    </row>
    <row r="31" spans="1:11" ht="18.75" customHeight="1">
      <c r="A31" s="7">
        <v>5</v>
      </c>
      <c r="B31" s="7">
        <v>3</v>
      </c>
      <c r="C31" s="7" t="s">
        <v>164</v>
      </c>
      <c r="D31" s="7" t="s">
        <v>111</v>
      </c>
      <c r="E31" s="7" t="s">
        <v>104</v>
      </c>
      <c r="F31" s="10" t="s">
        <v>67</v>
      </c>
      <c r="G31" s="7" t="s">
        <v>145</v>
      </c>
      <c r="H31" s="7" t="s">
        <v>253</v>
      </c>
      <c r="I31" s="7" t="s">
        <v>68</v>
      </c>
      <c r="J31" s="7">
        <v>4442193</v>
      </c>
      <c r="K31" s="7"/>
    </row>
    <row r="32" spans="1:11" ht="19.5" customHeight="1">
      <c r="A32" s="7">
        <v>6</v>
      </c>
      <c r="B32" s="7">
        <v>3</v>
      </c>
      <c r="C32" s="7" t="s">
        <v>165</v>
      </c>
      <c r="D32" s="7" t="s">
        <v>110</v>
      </c>
      <c r="E32" s="7" t="s">
        <v>104</v>
      </c>
      <c r="F32" s="10" t="s">
        <v>67</v>
      </c>
      <c r="G32" s="7" t="s">
        <v>147</v>
      </c>
      <c r="H32" s="2" t="s">
        <v>221</v>
      </c>
      <c r="I32" s="7" t="s">
        <v>69</v>
      </c>
      <c r="J32" s="7">
        <v>8054921</v>
      </c>
      <c r="K32" s="7"/>
    </row>
    <row r="33" spans="1:14" ht="18.75" customHeight="1">
      <c r="A33" s="7">
        <v>7</v>
      </c>
      <c r="B33" s="7">
        <v>3</v>
      </c>
      <c r="C33" s="7" t="s">
        <v>166</v>
      </c>
      <c r="D33" s="7" t="s">
        <v>109</v>
      </c>
      <c r="E33" s="7" t="s">
        <v>108</v>
      </c>
      <c r="F33" s="10" t="s">
        <v>67</v>
      </c>
      <c r="G33" s="7" t="s">
        <v>145</v>
      </c>
      <c r="H33" s="7" t="s">
        <v>255</v>
      </c>
      <c r="I33" s="7" t="s">
        <v>69</v>
      </c>
      <c r="J33" s="7">
        <v>7044139</v>
      </c>
      <c r="K33" s="7"/>
    </row>
    <row r="34" spans="1:14" ht="18.75" customHeight="1">
      <c r="A34" s="7">
        <v>8</v>
      </c>
      <c r="B34" s="7">
        <v>3</v>
      </c>
      <c r="C34" s="7" t="s">
        <v>167</v>
      </c>
      <c r="D34" s="7" t="s">
        <v>104</v>
      </c>
      <c r="E34" s="7" t="s">
        <v>105</v>
      </c>
      <c r="F34" s="8" t="s">
        <v>70</v>
      </c>
      <c r="G34" s="2" t="s">
        <v>558</v>
      </c>
      <c r="H34" s="7" t="s">
        <v>217</v>
      </c>
      <c r="I34" s="7" t="s">
        <v>71</v>
      </c>
      <c r="J34" s="7">
        <v>3643213</v>
      </c>
      <c r="K34" s="7"/>
    </row>
    <row r="35" spans="1:14" ht="18.75" customHeight="1">
      <c r="A35" s="7">
        <v>9</v>
      </c>
      <c r="B35" s="7">
        <v>3</v>
      </c>
      <c r="C35" s="7" t="s">
        <v>168</v>
      </c>
      <c r="D35" s="7" t="s">
        <v>107</v>
      </c>
      <c r="E35" s="7" t="s">
        <v>113</v>
      </c>
      <c r="F35" s="9" t="s">
        <v>66</v>
      </c>
      <c r="G35" s="7" t="s">
        <v>145</v>
      </c>
      <c r="H35" s="7" t="s">
        <v>217</v>
      </c>
      <c r="I35" s="7">
        <v>18290</v>
      </c>
      <c r="J35" s="7">
        <v>4224109</v>
      </c>
      <c r="K35" s="7"/>
    </row>
    <row r="36" spans="1:14" ht="18.75" customHeight="1">
      <c r="A36" s="7">
        <v>10</v>
      </c>
      <c r="B36" s="7">
        <v>3</v>
      </c>
      <c r="C36" s="7" t="s">
        <v>169</v>
      </c>
      <c r="D36" s="7" t="s">
        <v>107</v>
      </c>
      <c r="E36" s="7" t="s">
        <v>109</v>
      </c>
      <c r="F36" s="10" t="s">
        <v>67</v>
      </c>
      <c r="G36" s="7" t="s">
        <v>145</v>
      </c>
      <c r="H36" s="7" t="s">
        <v>256</v>
      </c>
      <c r="I36" s="7" t="s">
        <v>68</v>
      </c>
      <c r="J36" s="7">
        <v>2155864</v>
      </c>
      <c r="K36" s="7"/>
    </row>
    <row r="37" spans="1:14" ht="18.75" customHeight="1">
      <c r="A37" s="7">
        <v>11</v>
      </c>
      <c r="B37" s="7">
        <v>3</v>
      </c>
      <c r="C37" s="7" t="s">
        <v>170</v>
      </c>
      <c r="D37" s="7" t="s">
        <v>107</v>
      </c>
      <c r="E37" s="7" t="s">
        <v>104</v>
      </c>
      <c r="F37" s="10" t="s">
        <v>67</v>
      </c>
      <c r="G37" s="7" t="s">
        <v>147</v>
      </c>
      <c r="H37" s="7" t="s">
        <v>258</v>
      </c>
      <c r="I37" s="7" t="s">
        <v>72</v>
      </c>
      <c r="J37" s="7">
        <v>9981055</v>
      </c>
      <c r="K37" s="7"/>
    </row>
    <row r="38" spans="1:14" ht="18.75" customHeight="1">
      <c r="A38" s="7">
        <v>12</v>
      </c>
      <c r="B38" s="7">
        <v>3</v>
      </c>
      <c r="C38" s="7" t="s">
        <v>171</v>
      </c>
      <c r="D38" s="7" t="s">
        <v>106</v>
      </c>
      <c r="E38" s="7" t="s">
        <v>111</v>
      </c>
      <c r="F38" s="10" t="s">
        <v>67</v>
      </c>
      <c r="G38" s="7" t="s">
        <v>145</v>
      </c>
      <c r="H38" s="7" t="s">
        <v>215</v>
      </c>
      <c r="I38" s="7" t="s">
        <v>72</v>
      </c>
      <c r="J38" s="7">
        <v>4784756</v>
      </c>
      <c r="K38" s="7"/>
    </row>
    <row r="39" spans="1:14" ht="18.75" customHeight="1">
      <c r="A39" s="7">
        <v>13</v>
      </c>
      <c r="B39" s="7">
        <v>3</v>
      </c>
      <c r="C39" s="7" t="s">
        <v>172</v>
      </c>
      <c r="D39" s="7" t="s">
        <v>109</v>
      </c>
      <c r="E39" s="7" t="s">
        <v>106</v>
      </c>
      <c r="F39" s="10" t="s">
        <v>67</v>
      </c>
      <c r="G39" s="2" t="s">
        <v>558</v>
      </c>
      <c r="H39" s="7" t="s">
        <v>260</v>
      </c>
      <c r="I39" s="7" t="s">
        <v>73</v>
      </c>
      <c r="J39" s="7">
        <v>2457937</v>
      </c>
      <c r="K39" s="7"/>
    </row>
    <row r="40" spans="1:14" ht="18.75" customHeight="1">
      <c r="A40" s="15">
        <v>14</v>
      </c>
      <c r="B40" s="15">
        <v>3</v>
      </c>
      <c r="C40" s="15" t="s">
        <v>144</v>
      </c>
      <c r="D40" s="15" t="s">
        <v>108</v>
      </c>
      <c r="E40" s="15" t="s">
        <v>109</v>
      </c>
      <c r="F40" s="8" t="s">
        <v>74</v>
      </c>
      <c r="G40" s="7" t="s">
        <v>145</v>
      </c>
      <c r="H40" s="15" t="s">
        <v>209</v>
      </c>
      <c r="I40" s="15" t="s">
        <v>71</v>
      </c>
      <c r="J40" s="15">
        <v>6911242</v>
      </c>
      <c r="K40" s="7"/>
    </row>
    <row r="41" spans="1:14" ht="18.75" customHeight="1">
      <c r="A41" s="2">
        <v>15</v>
      </c>
      <c r="B41" s="7">
        <v>3</v>
      </c>
      <c r="C41" s="2" t="s">
        <v>161</v>
      </c>
      <c r="D41" s="2" t="s">
        <v>111</v>
      </c>
      <c r="E41" s="2" t="s">
        <v>107</v>
      </c>
      <c r="F41" s="6" t="s">
        <v>70</v>
      </c>
      <c r="G41" s="2" t="s">
        <v>558</v>
      </c>
      <c r="H41" s="2" t="s">
        <v>241</v>
      </c>
      <c r="I41" s="2" t="s">
        <v>71</v>
      </c>
      <c r="J41" s="2">
        <v>3022163</v>
      </c>
      <c r="K41" s="7"/>
    </row>
    <row r="42" spans="1:14" ht="18.75" customHeight="1">
      <c r="A42" s="2">
        <v>1</v>
      </c>
      <c r="B42" s="2">
        <v>4</v>
      </c>
      <c r="C42" s="2" t="s">
        <v>144</v>
      </c>
      <c r="D42" s="2" t="s">
        <v>105</v>
      </c>
      <c r="E42" s="2" t="s">
        <v>108</v>
      </c>
      <c r="F42" s="6" t="s">
        <v>61</v>
      </c>
      <c r="G42" s="7" t="s">
        <v>145</v>
      </c>
      <c r="H42" s="7" t="s">
        <v>217</v>
      </c>
      <c r="I42" s="2" t="s">
        <v>55</v>
      </c>
      <c r="J42" s="2">
        <v>8264094</v>
      </c>
      <c r="K42" s="7"/>
    </row>
    <row r="43" spans="1:14" ht="18.75" customHeight="1">
      <c r="A43" s="7">
        <v>2</v>
      </c>
      <c r="B43" s="2">
        <v>4</v>
      </c>
      <c r="C43" s="7" t="s">
        <v>173</v>
      </c>
      <c r="D43" s="7" t="s">
        <v>110</v>
      </c>
      <c r="E43" s="7" t="s">
        <v>111</v>
      </c>
      <c r="F43" s="10" t="s">
        <v>57</v>
      </c>
      <c r="G43" s="7" t="s">
        <v>145</v>
      </c>
      <c r="H43" s="2" t="s">
        <v>221</v>
      </c>
      <c r="I43" s="7" t="s">
        <v>60</v>
      </c>
      <c r="J43" s="7">
        <v>6780843</v>
      </c>
      <c r="K43" s="7"/>
    </row>
    <row r="44" spans="1:14" ht="18.75" customHeight="1">
      <c r="A44" s="7">
        <v>3</v>
      </c>
      <c r="B44" s="2">
        <v>4</v>
      </c>
      <c r="C44" s="2" t="s">
        <v>174</v>
      </c>
      <c r="D44" s="2" t="s">
        <v>112</v>
      </c>
      <c r="E44" s="2" t="s">
        <v>110</v>
      </c>
      <c r="F44" s="3" t="s">
        <v>57</v>
      </c>
      <c r="G44" s="7" t="s">
        <v>147</v>
      </c>
      <c r="H44" s="2" t="s">
        <v>262</v>
      </c>
      <c r="I44" s="2" t="s">
        <v>59</v>
      </c>
      <c r="J44" s="2">
        <v>1766762</v>
      </c>
      <c r="K44" s="7"/>
    </row>
    <row r="45" spans="1:14" ht="18.75" customHeight="1">
      <c r="A45" s="15">
        <v>4</v>
      </c>
      <c r="B45" s="15">
        <v>4</v>
      </c>
      <c r="C45" s="15" t="s">
        <v>175</v>
      </c>
      <c r="D45" s="15" t="s">
        <v>110</v>
      </c>
      <c r="E45" s="15" t="s">
        <v>113</v>
      </c>
      <c r="F45" s="10" t="s">
        <v>57</v>
      </c>
      <c r="G45" s="7" t="s">
        <v>145</v>
      </c>
      <c r="H45" s="7" t="s">
        <v>211</v>
      </c>
      <c r="I45" s="15" t="s">
        <v>58</v>
      </c>
      <c r="J45" s="15">
        <v>5970833</v>
      </c>
      <c r="K45" s="7"/>
    </row>
    <row r="46" spans="1:14" ht="18.75" customHeight="1">
      <c r="A46" s="7">
        <v>5</v>
      </c>
      <c r="B46" s="2">
        <v>4</v>
      </c>
      <c r="C46" s="7" t="s">
        <v>176</v>
      </c>
      <c r="D46" s="7" t="s">
        <v>105</v>
      </c>
      <c r="E46" s="7" t="s">
        <v>110</v>
      </c>
      <c r="F46" s="10" t="s">
        <v>57</v>
      </c>
      <c r="G46" s="2" t="s">
        <v>558</v>
      </c>
      <c r="H46" s="7" t="s">
        <v>217</v>
      </c>
      <c r="I46" s="7" t="s">
        <v>65</v>
      </c>
      <c r="J46" s="7">
        <v>828580</v>
      </c>
      <c r="K46" s="7"/>
      <c r="N46" s="1">
        <f t="shared" ref="N35:O66" ca="1" si="0">RANDBETWEEN(0,10)</f>
        <v>0</v>
      </c>
    </row>
    <row r="47" spans="1:14" ht="18.75" customHeight="1">
      <c r="A47" s="7">
        <v>6</v>
      </c>
      <c r="B47" s="2">
        <v>4</v>
      </c>
      <c r="C47" s="7" t="s">
        <v>177</v>
      </c>
      <c r="D47" s="7" t="s">
        <v>109</v>
      </c>
      <c r="E47" s="7" t="s">
        <v>110</v>
      </c>
      <c r="F47" s="10" t="s">
        <v>57</v>
      </c>
      <c r="G47" s="7" t="s">
        <v>145</v>
      </c>
      <c r="H47" s="7" t="s">
        <v>264</v>
      </c>
      <c r="I47" s="7" t="s">
        <v>64</v>
      </c>
      <c r="J47" s="7">
        <v>1018499</v>
      </c>
      <c r="K47" s="7"/>
      <c r="N47" s="1">
        <f t="shared" ca="1" si="0"/>
        <v>10</v>
      </c>
    </row>
    <row r="48" spans="1:14" ht="18.75" customHeight="1">
      <c r="A48" s="7">
        <v>7</v>
      </c>
      <c r="B48" s="2">
        <v>4</v>
      </c>
      <c r="C48" s="7" t="s">
        <v>178</v>
      </c>
      <c r="D48" s="7" t="s">
        <v>107</v>
      </c>
      <c r="E48" s="7" t="s">
        <v>107</v>
      </c>
      <c r="F48" s="8" t="s">
        <v>54</v>
      </c>
      <c r="G48" s="7" t="s">
        <v>145</v>
      </c>
      <c r="H48" s="7" t="s">
        <v>266</v>
      </c>
      <c r="I48" s="7" t="s">
        <v>55</v>
      </c>
      <c r="J48" s="7">
        <v>1352728</v>
      </c>
      <c r="K48" s="7"/>
      <c r="N48" s="1">
        <f t="shared" ca="1" si="0"/>
        <v>7</v>
      </c>
    </row>
    <row r="49" spans="1:17" ht="18.75" customHeight="1">
      <c r="A49" s="36">
        <v>8</v>
      </c>
      <c r="B49" s="37">
        <v>4</v>
      </c>
      <c r="C49" s="36" t="s">
        <v>147</v>
      </c>
      <c r="D49" s="36"/>
      <c r="E49" s="36" t="s">
        <v>107</v>
      </c>
      <c r="F49" s="36" t="s">
        <v>63</v>
      </c>
      <c r="G49" s="7" t="s">
        <v>147</v>
      </c>
      <c r="H49" s="36"/>
      <c r="I49" s="36"/>
      <c r="J49" s="36"/>
      <c r="K49" s="7"/>
    </row>
    <row r="50" spans="1:17" ht="18.75" customHeight="1">
      <c r="A50" s="36">
        <v>9</v>
      </c>
      <c r="B50" s="36">
        <v>4</v>
      </c>
      <c r="C50" s="36" t="s">
        <v>179</v>
      </c>
      <c r="D50" s="36" t="s">
        <v>106</v>
      </c>
      <c r="E50" s="36" t="s">
        <v>107</v>
      </c>
      <c r="F50" s="38" t="s">
        <v>97</v>
      </c>
      <c r="G50" s="7" t="s">
        <v>145</v>
      </c>
      <c r="H50" s="36" t="s">
        <v>268</v>
      </c>
      <c r="I50" s="36" t="s">
        <v>38</v>
      </c>
      <c r="J50" s="36">
        <v>3043823</v>
      </c>
      <c r="K50" s="53"/>
    </row>
    <row r="51" spans="1:17" ht="18.75" customHeight="1">
      <c r="A51" s="7">
        <v>10</v>
      </c>
      <c r="B51" s="2">
        <v>4</v>
      </c>
      <c r="C51" s="7" t="s">
        <v>140</v>
      </c>
      <c r="D51" s="7"/>
      <c r="E51" s="7" t="s">
        <v>106</v>
      </c>
      <c r="F51" s="10" t="s">
        <v>12</v>
      </c>
      <c r="G51" s="2" t="s">
        <v>558</v>
      </c>
      <c r="H51" s="7" t="s">
        <v>211</v>
      </c>
      <c r="I51" s="7" t="s">
        <v>62</v>
      </c>
      <c r="J51" s="7">
        <v>392827</v>
      </c>
      <c r="K51" s="7"/>
    </row>
    <row r="52" spans="1:17" ht="18.75" customHeight="1">
      <c r="A52" s="7">
        <v>11</v>
      </c>
      <c r="B52" s="2">
        <v>4</v>
      </c>
      <c r="C52" s="7" t="s">
        <v>155</v>
      </c>
      <c r="D52" s="7" t="s">
        <v>108</v>
      </c>
      <c r="E52" s="7"/>
      <c r="F52" s="10" t="s">
        <v>12</v>
      </c>
      <c r="G52" s="7" t="s">
        <v>145</v>
      </c>
      <c r="H52" s="7" t="s">
        <v>211</v>
      </c>
      <c r="I52" s="7" t="s">
        <v>88</v>
      </c>
      <c r="J52" s="7">
        <v>5764394</v>
      </c>
      <c r="K52" s="7"/>
      <c r="P52" s="14"/>
      <c r="Q52" s="14"/>
    </row>
    <row r="53" spans="1:17" ht="18.75" customHeight="1">
      <c r="A53" s="7">
        <v>12</v>
      </c>
      <c r="B53" s="7">
        <v>4</v>
      </c>
      <c r="C53" s="7" t="s">
        <v>176</v>
      </c>
      <c r="D53" s="7" t="s">
        <v>109</v>
      </c>
      <c r="E53" s="7" t="s">
        <v>109</v>
      </c>
      <c r="F53" s="9" t="s">
        <v>56</v>
      </c>
      <c r="G53" s="7" t="s">
        <v>145</v>
      </c>
      <c r="H53" s="7" t="s">
        <v>217</v>
      </c>
      <c r="I53" s="7">
        <v>18210</v>
      </c>
      <c r="J53" s="7">
        <v>3714671</v>
      </c>
      <c r="K53" s="7"/>
    </row>
    <row r="54" spans="1:17" ht="18.75" customHeight="1">
      <c r="A54" s="7">
        <v>13</v>
      </c>
      <c r="B54" s="2">
        <v>4</v>
      </c>
      <c r="C54" s="7" t="s">
        <v>180</v>
      </c>
      <c r="D54" s="7" t="s">
        <v>110</v>
      </c>
      <c r="E54" s="7" t="s">
        <v>106</v>
      </c>
      <c r="F54" s="9" t="s">
        <v>56</v>
      </c>
      <c r="G54" s="7" t="s">
        <v>147</v>
      </c>
      <c r="H54" s="7"/>
      <c r="I54" s="7">
        <v>18250</v>
      </c>
      <c r="J54" s="7">
        <v>8146235</v>
      </c>
      <c r="K54" s="7"/>
    </row>
    <row r="55" spans="1:17" s="14" customFormat="1" ht="18.75" customHeight="1">
      <c r="A55" s="25">
        <v>1</v>
      </c>
      <c r="B55" s="17">
        <v>5</v>
      </c>
      <c r="C55" s="7" t="s">
        <v>181</v>
      </c>
      <c r="D55" s="7" t="s">
        <v>106</v>
      </c>
      <c r="E55" s="7" t="s">
        <v>110</v>
      </c>
      <c r="F55" s="10" t="s">
        <v>12</v>
      </c>
      <c r="G55" s="7" t="s">
        <v>145</v>
      </c>
      <c r="H55" s="7" t="s">
        <v>205</v>
      </c>
      <c r="I55" s="7" t="s">
        <v>96</v>
      </c>
      <c r="J55" s="7">
        <v>2951028</v>
      </c>
      <c r="K55" s="51"/>
      <c r="N55" s="1"/>
      <c r="O55" s="1"/>
      <c r="P55" s="1"/>
      <c r="Q55" s="1"/>
    </row>
    <row r="56" spans="1:17" ht="18.75" customHeight="1">
      <c r="A56" s="7">
        <v>2</v>
      </c>
      <c r="B56" s="7">
        <v>5</v>
      </c>
      <c r="C56" s="7" t="s">
        <v>182</v>
      </c>
      <c r="D56" s="7" t="s">
        <v>110</v>
      </c>
      <c r="E56" s="7" t="s">
        <v>108</v>
      </c>
      <c r="F56" s="10" t="s">
        <v>39</v>
      </c>
      <c r="G56" s="2" t="s">
        <v>558</v>
      </c>
      <c r="H56" s="2" t="s">
        <v>221</v>
      </c>
      <c r="I56" s="7" t="s">
        <v>40</v>
      </c>
      <c r="J56" s="7">
        <v>8063174</v>
      </c>
      <c r="K56" s="7"/>
    </row>
    <row r="57" spans="1:17" ht="18.75" customHeight="1">
      <c r="A57" s="7">
        <v>3</v>
      </c>
      <c r="B57" s="17">
        <v>5</v>
      </c>
      <c r="C57" s="7" t="s">
        <v>183</v>
      </c>
      <c r="D57" s="7" t="s">
        <v>112</v>
      </c>
      <c r="E57" s="7" t="s">
        <v>107</v>
      </c>
      <c r="F57" s="10" t="s">
        <v>39</v>
      </c>
      <c r="G57" s="7" t="s">
        <v>145</v>
      </c>
      <c r="H57" s="7"/>
      <c r="I57" s="7" t="s">
        <v>41</v>
      </c>
      <c r="J57" s="7">
        <v>4980287</v>
      </c>
      <c r="K57" s="7"/>
    </row>
    <row r="58" spans="1:17" ht="18.75" customHeight="1">
      <c r="A58" s="7">
        <v>4</v>
      </c>
      <c r="B58" s="7">
        <v>5</v>
      </c>
      <c r="C58" s="7" t="s">
        <v>184</v>
      </c>
      <c r="D58" s="7" t="s">
        <v>110</v>
      </c>
      <c r="E58" s="7" t="s">
        <v>105</v>
      </c>
      <c r="F58" s="9" t="s">
        <v>42</v>
      </c>
      <c r="G58" s="2" t="s">
        <v>558</v>
      </c>
      <c r="H58" s="7" t="s">
        <v>211</v>
      </c>
      <c r="I58" s="7">
        <v>18270</v>
      </c>
      <c r="J58" s="7">
        <v>516832</v>
      </c>
      <c r="K58" s="7"/>
    </row>
    <row r="59" spans="1:17" ht="18.75" customHeight="1">
      <c r="A59" s="25">
        <v>5</v>
      </c>
      <c r="B59" s="17">
        <v>5</v>
      </c>
      <c r="C59" s="7" t="s">
        <v>185</v>
      </c>
      <c r="D59" s="7" t="s">
        <v>107</v>
      </c>
      <c r="E59" s="7" t="s">
        <v>111</v>
      </c>
      <c r="F59" s="8" t="s">
        <v>37</v>
      </c>
      <c r="G59" s="7" t="s">
        <v>145</v>
      </c>
      <c r="H59" s="7" t="s">
        <v>269</v>
      </c>
      <c r="I59" s="7" t="s">
        <v>38</v>
      </c>
      <c r="J59" s="7">
        <v>4048706</v>
      </c>
      <c r="K59" s="7"/>
    </row>
    <row r="60" spans="1:17" ht="18.75" customHeight="1">
      <c r="A60" s="7">
        <v>6</v>
      </c>
      <c r="B60" s="7">
        <v>5</v>
      </c>
      <c r="C60" s="7" t="s">
        <v>186</v>
      </c>
      <c r="D60" s="7" t="s">
        <v>106</v>
      </c>
      <c r="E60" s="7" t="s">
        <v>107</v>
      </c>
      <c r="F60" s="10" t="s">
        <v>39</v>
      </c>
      <c r="G60" s="7" t="s">
        <v>145</v>
      </c>
      <c r="H60" s="7" t="s">
        <v>219</v>
      </c>
      <c r="I60" s="7" t="s">
        <v>43</v>
      </c>
      <c r="J60" s="7">
        <v>7833736</v>
      </c>
      <c r="K60" s="7"/>
    </row>
    <row r="61" spans="1:17" ht="18.75" customHeight="1">
      <c r="A61" s="15">
        <v>7</v>
      </c>
      <c r="B61" s="15">
        <v>5</v>
      </c>
      <c r="C61" s="15" t="s">
        <v>145</v>
      </c>
      <c r="D61" s="15" t="s">
        <v>111</v>
      </c>
      <c r="E61" s="15" t="s">
        <v>113</v>
      </c>
      <c r="F61" s="10" t="s">
        <v>39</v>
      </c>
      <c r="G61" s="7" t="s">
        <v>147</v>
      </c>
      <c r="H61" s="7" t="s">
        <v>211</v>
      </c>
      <c r="I61" s="15" t="s">
        <v>44</v>
      </c>
      <c r="J61" s="15">
        <v>2710436</v>
      </c>
      <c r="K61" s="7"/>
    </row>
    <row r="62" spans="1:17" ht="18.75" customHeight="1">
      <c r="A62" s="7">
        <v>8</v>
      </c>
      <c r="B62" s="7">
        <v>5</v>
      </c>
      <c r="C62" s="7" t="s">
        <v>162</v>
      </c>
      <c r="D62" s="7" t="s">
        <v>107</v>
      </c>
      <c r="E62" s="7" t="s">
        <v>112</v>
      </c>
      <c r="F62" s="9" t="s">
        <v>42</v>
      </c>
      <c r="G62" s="7" t="s">
        <v>145</v>
      </c>
      <c r="H62" s="7" t="s">
        <v>247</v>
      </c>
      <c r="I62" s="7">
        <v>18240</v>
      </c>
      <c r="J62" s="7">
        <v>4233843</v>
      </c>
      <c r="K62" s="7"/>
    </row>
    <row r="63" spans="1:17" ht="18.75" customHeight="1">
      <c r="A63" s="7">
        <v>9</v>
      </c>
      <c r="B63" s="7">
        <v>5</v>
      </c>
      <c r="C63" s="7" t="s">
        <v>187</v>
      </c>
      <c r="D63" s="7" t="s">
        <v>105</v>
      </c>
      <c r="E63" s="7" t="s">
        <v>113</v>
      </c>
      <c r="F63" s="9" t="s">
        <v>42</v>
      </c>
      <c r="G63" s="2" t="s">
        <v>558</v>
      </c>
      <c r="H63" s="7" t="s">
        <v>219</v>
      </c>
      <c r="I63" s="7">
        <v>18260</v>
      </c>
      <c r="J63" s="7">
        <v>9657743</v>
      </c>
      <c r="K63" s="7"/>
    </row>
    <row r="64" spans="1:17" ht="18.75" customHeight="1">
      <c r="A64" s="7">
        <v>10</v>
      </c>
      <c r="B64" s="7">
        <v>5</v>
      </c>
      <c r="C64" s="7" t="s">
        <v>184</v>
      </c>
      <c r="D64" s="7" t="s">
        <v>107</v>
      </c>
      <c r="E64" s="7"/>
      <c r="F64" s="10" t="s">
        <v>39</v>
      </c>
      <c r="G64" s="7" t="s">
        <v>145</v>
      </c>
      <c r="H64" s="7" t="s">
        <v>213</v>
      </c>
      <c r="I64" s="7" t="s">
        <v>45</v>
      </c>
      <c r="J64" s="7">
        <v>7484994</v>
      </c>
      <c r="K64" s="7"/>
    </row>
    <row r="65" spans="1:11" ht="18.75" customHeight="1">
      <c r="A65" s="7">
        <v>11</v>
      </c>
      <c r="B65" s="7">
        <v>5</v>
      </c>
      <c r="C65" s="7" t="s">
        <v>149</v>
      </c>
      <c r="D65" s="7" t="s">
        <v>111</v>
      </c>
      <c r="E65" s="7" t="s">
        <v>104</v>
      </c>
      <c r="F65" s="10" t="s">
        <v>39</v>
      </c>
      <c r="G65" s="7" t="s">
        <v>145</v>
      </c>
      <c r="H65" s="7" t="s">
        <v>270</v>
      </c>
      <c r="I65" s="7" t="s">
        <v>46</v>
      </c>
      <c r="J65" s="7">
        <v>607336</v>
      </c>
      <c r="K65" s="7"/>
    </row>
    <row r="66" spans="1:11" ht="18.75" customHeight="1">
      <c r="A66" s="7">
        <v>12</v>
      </c>
      <c r="B66" s="7">
        <v>5</v>
      </c>
      <c r="C66" s="7" t="s">
        <v>188</v>
      </c>
      <c r="D66" s="7" t="s">
        <v>105</v>
      </c>
      <c r="E66" s="7" t="s">
        <v>107</v>
      </c>
      <c r="F66" s="8" t="s">
        <v>37</v>
      </c>
      <c r="G66" s="7" t="s">
        <v>147</v>
      </c>
      <c r="H66" s="7" t="s">
        <v>256</v>
      </c>
      <c r="I66" s="7" t="s">
        <v>38</v>
      </c>
      <c r="J66" s="7">
        <v>7308548</v>
      </c>
      <c r="K66" s="7"/>
    </row>
    <row r="67" spans="1:11" ht="18.75" customHeight="1">
      <c r="A67" s="7">
        <v>13</v>
      </c>
      <c r="B67" s="7">
        <v>5</v>
      </c>
      <c r="C67" s="7" t="s">
        <v>189</v>
      </c>
      <c r="D67" s="7" t="s">
        <v>113</v>
      </c>
      <c r="E67" s="7" t="s">
        <v>106</v>
      </c>
      <c r="F67" s="10" t="s">
        <v>39</v>
      </c>
      <c r="G67" s="7" t="s">
        <v>145</v>
      </c>
      <c r="H67" s="7" t="s">
        <v>272</v>
      </c>
      <c r="I67" s="7" t="s">
        <v>47</v>
      </c>
      <c r="J67" s="7">
        <v>2955815</v>
      </c>
      <c r="K67" s="7"/>
    </row>
    <row r="68" spans="1:11" ht="18.75" customHeight="1">
      <c r="A68" s="7">
        <v>14</v>
      </c>
      <c r="B68" s="7">
        <v>5</v>
      </c>
      <c r="C68" s="7" t="s">
        <v>175</v>
      </c>
      <c r="D68" s="7" t="s">
        <v>113</v>
      </c>
      <c r="E68" s="7" t="s">
        <v>105</v>
      </c>
      <c r="F68" s="10" t="s">
        <v>39</v>
      </c>
      <c r="G68" s="2" t="s">
        <v>558</v>
      </c>
      <c r="H68" s="7" t="s">
        <v>211</v>
      </c>
      <c r="I68" s="7" t="s">
        <v>46</v>
      </c>
      <c r="J68" s="7">
        <v>2643746</v>
      </c>
      <c r="K68" s="7"/>
    </row>
    <row r="69" spans="1:11" ht="18.75" customHeight="1">
      <c r="A69" s="7">
        <v>1</v>
      </c>
      <c r="B69" s="7">
        <v>6</v>
      </c>
      <c r="C69" s="7" t="s">
        <v>190</v>
      </c>
      <c r="D69" s="7" t="s">
        <v>107</v>
      </c>
      <c r="E69" s="7" t="s">
        <v>105</v>
      </c>
      <c r="F69" s="8" t="s">
        <v>25</v>
      </c>
      <c r="G69" s="7" t="s">
        <v>145</v>
      </c>
      <c r="H69" s="7" t="s">
        <v>207</v>
      </c>
      <c r="I69" s="7" t="s">
        <v>90</v>
      </c>
      <c r="J69" s="7">
        <v>4530815</v>
      </c>
      <c r="K69" s="7"/>
    </row>
    <row r="70" spans="1:11" ht="18.75" customHeight="1">
      <c r="A70" s="7">
        <v>2</v>
      </c>
      <c r="B70" s="7">
        <v>6</v>
      </c>
      <c r="C70" s="7" t="s">
        <v>178</v>
      </c>
      <c r="D70" s="7"/>
      <c r="E70" s="7" t="s">
        <v>107</v>
      </c>
      <c r="F70" s="9" t="s">
        <v>11</v>
      </c>
      <c r="G70" s="7" t="s">
        <v>145</v>
      </c>
      <c r="H70" s="7" t="s">
        <v>211</v>
      </c>
      <c r="I70" s="7">
        <v>18240</v>
      </c>
      <c r="J70" s="7">
        <v>4829167</v>
      </c>
      <c r="K70" s="7"/>
    </row>
    <row r="71" spans="1:11" ht="18.75" customHeight="1">
      <c r="A71" s="7">
        <v>3</v>
      </c>
      <c r="B71" s="7">
        <v>6</v>
      </c>
      <c r="C71" s="2" t="s">
        <v>179</v>
      </c>
      <c r="D71" s="2" t="s">
        <v>113</v>
      </c>
      <c r="E71" s="2" t="s">
        <v>111</v>
      </c>
      <c r="F71" s="3" t="s">
        <v>12</v>
      </c>
      <c r="G71" s="7" t="s">
        <v>147</v>
      </c>
      <c r="H71" s="2" t="s">
        <v>268</v>
      </c>
      <c r="I71" s="2" t="s">
        <v>13</v>
      </c>
      <c r="J71" s="2">
        <v>1614456</v>
      </c>
      <c r="K71" s="7"/>
    </row>
    <row r="72" spans="1:11" ht="18.75" customHeight="1">
      <c r="A72" s="7">
        <v>4</v>
      </c>
      <c r="B72" s="7">
        <v>6</v>
      </c>
      <c r="C72" s="2" t="s">
        <v>160</v>
      </c>
      <c r="D72" s="2" t="s">
        <v>107</v>
      </c>
      <c r="E72" s="2" t="s">
        <v>113</v>
      </c>
      <c r="F72" s="4" t="s">
        <v>15</v>
      </c>
      <c r="G72" s="7" t="s">
        <v>145</v>
      </c>
      <c r="H72" s="2" t="s">
        <v>243</v>
      </c>
      <c r="I72" s="2">
        <v>18260</v>
      </c>
      <c r="J72" s="5">
        <v>7144080</v>
      </c>
      <c r="K72" s="7"/>
    </row>
    <row r="73" spans="1:11" ht="18.75" customHeight="1">
      <c r="A73" s="7">
        <v>5</v>
      </c>
      <c r="B73" s="7">
        <v>6</v>
      </c>
      <c r="C73" s="2" t="s">
        <v>191</v>
      </c>
      <c r="D73" s="2" t="s">
        <v>107</v>
      </c>
      <c r="E73" s="2" t="s">
        <v>105</v>
      </c>
      <c r="F73" s="6" t="s">
        <v>16</v>
      </c>
      <c r="G73" s="2" t="s">
        <v>558</v>
      </c>
      <c r="H73" s="2" t="s">
        <v>274</v>
      </c>
      <c r="I73" s="2" t="s">
        <v>17</v>
      </c>
      <c r="J73" s="2">
        <v>5187333</v>
      </c>
      <c r="K73" s="7"/>
    </row>
    <row r="74" spans="1:11" ht="18.75" customHeight="1">
      <c r="A74" s="7">
        <v>6</v>
      </c>
      <c r="B74" s="7">
        <v>6</v>
      </c>
      <c r="C74" s="2" t="s">
        <v>192</v>
      </c>
      <c r="D74" s="2" t="s">
        <v>106</v>
      </c>
      <c r="E74" s="2" t="s">
        <v>107</v>
      </c>
      <c r="F74" s="6" t="s">
        <v>18</v>
      </c>
      <c r="G74" s="7" t="s">
        <v>145</v>
      </c>
      <c r="H74" s="2" t="s">
        <v>221</v>
      </c>
      <c r="I74" s="2" t="s">
        <v>17</v>
      </c>
      <c r="J74" s="2">
        <v>6377663</v>
      </c>
      <c r="K74" s="7"/>
    </row>
    <row r="75" spans="1:11" ht="18.75" customHeight="1">
      <c r="A75" s="7">
        <v>7</v>
      </c>
      <c r="B75" s="7">
        <v>6</v>
      </c>
      <c r="C75" s="2" t="s">
        <v>193</v>
      </c>
      <c r="D75" s="2" t="s">
        <v>110</v>
      </c>
      <c r="E75" s="2" t="s">
        <v>104</v>
      </c>
      <c r="F75" s="3" t="s">
        <v>12</v>
      </c>
      <c r="G75" s="2" t="s">
        <v>558</v>
      </c>
      <c r="H75" s="7" t="s">
        <v>276</v>
      </c>
      <c r="I75" s="2" t="s">
        <v>13</v>
      </c>
      <c r="J75" s="2">
        <v>190100</v>
      </c>
      <c r="K75" s="7"/>
    </row>
    <row r="76" spans="1:11" ht="18.75" customHeight="1">
      <c r="A76" s="7">
        <v>8</v>
      </c>
      <c r="B76" s="7">
        <v>6</v>
      </c>
      <c r="C76" s="2" t="s">
        <v>172</v>
      </c>
      <c r="D76" s="2" t="s">
        <v>113</v>
      </c>
      <c r="E76" s="2" t="s">
        <v>113</v>
      </c>
      <c r="F76" s="3" t="s">
        <v>12</v>
      </c>
      <c r="G76" s="7" t="s">
        <v>145</v>
      </c>
      <c r="H76" s="2" t="s">
        <v>278</v>
      </c>
      <c r="I76" s="2" t="s">
        <v>14</v>
      </c>
      <c r="J76" s="2">
        <v>8543769</v>
      </c>
      <c r="K76" s="7"/>
    </row>
    <row r="77" spans="1:11" ht="18.75" customHeight="1">
      <c r="A77" s="7">
        <v>9</v>
      </c>
      <c r="B77" s="7">
        <v>6</v>
      </c>
      <c r="C77" s="2" t="s">
        <v>194</v>
      </c>
      <c r="D77" s="2" t="s">
        <v>106</v>
      </c>
      <c r="E77" s="2" t="s">
        <v>110</v>
      </c>
      <c r="F77" s="4" t="s">
        <v>20</v>
      </c>
      <c r="G77" s="7" t="s">
        <v>145</v>
      </c>
      <c r="H77" s="2" t="s">
        <v>247</v>
      </c>
      <c r="I77" s="2">
        <v>18270</v>
      </c>
      <c r="J77" s="2">
        <v>4664910</v>
      </c>
      <c r="K77" s="7"/>
    </row>
    <row r="78" spans="1:11" ht="18.75" customHeight="1">
      <c r="A78" s="7">
        <v>10</v>
      </c>
      <c r="B78" s="7">
        <v>6</v>
      </c>
      <c r="C78" s="2" t="s">
        <v>140</v>
      </c>
      <c r="D78" s="2"/>
      <c r="E78" s="2" t="s">
        <v>107</v>
      </c>
      <c r="F78" s="3" t="s">
        <v>12</v>
      </c>
      <c r="G78" s="7" t="s">
        <v>147</v>
      </c>
      <c r="H78" s="7" t="s">
        <v>266</v>
      </c>
      <c r="I78" s="2" t="s">
        <v>13</v>
      </c>
      <c r="J78" s="2">
        <v>6643288</v>
      </c>
      <c r="K78" s="7"/>
    </row>
    <row r="79" spans="1:11" ht="18.75" customHeight="1">
      <c r="A79" s="7">
        <v>11</v>
      </c>
      <c r="B79" s="7">
        <v>6</v>
      </c>
      <c r="C79" s="2" t="s">
        <v>195</v>
      </c>
      <c r="D79" s="2" t="s">
        <v>106</v>
      </c>
      <c r="E79" s="2" t="s">
        <v>107</v>
      </c>
      <c r="F79" s="3" t="s">
        <v>12</v>
      </c>
      <c r="G79" s="7" t="s">
        <v>145</v>
      </c>
      <c r="H79" s="7" t="s">
        <v>280</v>
      </c>
      <c r="I79" s="2" t="s">
        <v>13</v>
      </c>
      <c r="J79" s="2">
        <v>5083891</v>
      </c>
      <c r="K79" s="7"/>
    </row>
    <row r="80" spans="1:11" ht="18.75" customHeight="1">
      <c r="A80" s="7">
        <v>12</v>
      </c>
      <c r="B80" s="7">
        <v>6</v>
      </c>
      <c r="C80" s="2" t="s">
        <v>142</v>
      </c>
      <c r="D80" s="2" t="s">
        <v>104</v>
      </c>
      <c r="E80" s="2" t="s">
        <v>113</v>
      </c>
      <c r="F80" s="4" t="s">
        <v>53</v>
      </c>
      <c r="G80" s="2" t="s">
        <v>558</v>
      </c>
      <c r="H80" s="7" t="s">
        <v>281</v>
      </c>
      <c r="I80" s="2">
        <v>18200</v>
      </c>
      <c r="J80" s="2">
        <v>2736220</v>
      </c>
      <c r="K80" s="53"/>
    </row>
    <row r="81" spans="1:11" ht="18.75" customHeight="1">
      <c r="A81" s="16">
        <v>13</v>
      </c>
      <c r="B81" s="16">
        <v>6</v>
      </c>
      <c r="C81" s="19" t="s">
        <v>149</v>
      </c>
      <c r="D81" s="19" t="s">
        <v>105</v>
      </c>
      <c r="E81" s="19" t="s">
        <v>106</v>
      </c>
      <c r="F81" s="18" t="s">
        <v>19</v>
      </c>
      <c r="G81" s="7" t="s">
        <v>145</v>
      </c>
      <c r="H81" s="19" t="s">
        <v>225</v>
      </c>
      <c r="I81" s="19" t="s">
        <v>14</v>
      </c>
      <c r="J81" s="19">
        <v>3132944</v>
      </c>
      <c r="K81" s="7"/>
    </row>
    <row r="82" spans="1:11" ht="18.75" customHeight="1">
      <c r="A82" s="7">
        <v>14</v>
      </c>
      <c r="B82" s="7">
        <v>6</v>
      </c>
      <c r="C82" s="2" t="s">
        <v>196</v>
      </c>
      <c r="D82" s="2" t="s">
        <v>108</v>
      </c>
      <c r="E82" s="2" t="s">
        <v>109</v>
      </c>
      <c r="F82" s="6" t="s">
        <v>21</v>
      </c>
      <c r="G82" s="7" t="s">
        <v>145</v>
      </c>
      <c r="H82" s="2" t="s">
        <v>237</v>
      </c>
      <c r="I82" s="2" t="s">
        <v>17</v>
      </c>
      <c r="J82" s="5">
        <v>9887472</v>
      </c>
      <c r="K82" s="7"/>
    </row>
    <row r="83" spans="1:11" ht="18.75" customHeight="1">
      <c r="A83" s="7">
        <v>15</v>
      </c>
      <c r="B83" s="7">
        <v>7</v>
      </c>
      <c r="C83" s="2" t="s">
        <v>180</v>
      </c>
      <c r="D83" s="2" t="s">
        <v>106</v>
      </c>
      <c r="E83" s="2" t="s">
        <v>107</v>
      </c>
      <c r="F83" s="3" t="s">
        <v>12</v>
      </c>
      <c r="G83" s="7" t="s">
        <v>147</v>
      </c>
      <c r="H83" s="2" t="s">
        <v>221</v>
      </c>
      <c r="I83" s="2" t="s">
        <v>13</v>
      </c>
      <c r="J83" s="2">
        <v>2206855</v>
      </c>
      <c r="K83" s="7"/>
    </row>
    <row r="84" spans="1:11" ht="18.75" customHeight="1">
      <c r="A84" s="7">
        <v>16</v>
      </c>
      <c r="B84" s="7">
        <v>7</v>
      </c>
      <c r="C84" s="2" t="s">
        <v>195</v>
      </c>
      <c r="D84" s="2" t="s">
        <v>105</v>
      </c>
      <c r="E84" s="2" t="s">
        <v>109</v>
      </c>
      <c r="F84" s="3" t="s">
        <v>12</v>
      </c>
      <c r="G84" s="7" t="s">
        <v>145</v>
      </c>
      <c r="H84" s="7" t="s">
        <v>205</v>
      </c>
      <c r="I84" s="2" t="s">
        <v>22</v>
      </c>
      <c r="J84" s="2">
        <v>8386711</v>
      </c>
      <c r="K84" s="7"/>
    </row>
    <row r="85" spans="1:11" ht="18.75" customHeight="1">
      <c r="A85" s="16">
        <v>17</v>
      </c>
      <c r="B85" s="16">
        <v>7</v>
      </c>
      <c r="C85" s="16" t="s">
        <v>197</v>
      </c>
      <c r="D85" s="16" t="s">
        <v>104</v>
      </c>
      <c r="E85" s="16" t="s">
        <v>113</v>
      </c>
      <c r="F85" s="16" t="s">
        <v>23</v>
      </c>
      <c r="G85" s="2" t="s">
        <v>558</v>
      </c>
      <c r="H85" s="16"/>
      <c r="I85" s="16"/>
      <c r="J85" s="16">
        <v>4598050</v>
      </c>
      <c r="K85" s="7"/>
    </row>
    <row r="86" spans="1:11" ht="18.75" customHeight="1">
      <c r="A86" s="7">
        <v>18</v>
      </c>
      <c r="B86" s="7">
        <v>7</v>
      </c>
      <c r="C86" s="7" t="s">
        <v>171</v>
      </c>
      <c r="D86" s="7" t="s">
        <v>108</v>
      </c>
      <c r="E86" s="7" t="s">
        <v>112</v>
      </c>
      <c r="F86" s="8" t="s">
        <v>24</v>
      </c>
      <c r="G86" s="7" t="s">
        <v>145</v>
      </c>
      <c r="H86" s="7" t="s">
        <v>215</v>
      </c>
      <c r="I86" s="7" t="s">
        <v>17</v>
      </c>
      <c r="J86" s="7">
        <v>3083181</v>
      </c>
      <c r="K86" s="7"/>
    </row>
    <row r="87" spans="1:11" ht="18.75" customHeight="1">
      <c r="A87" s="7">
        <v>1</v>
      </c>
      <c r="B87" s="7">
        <v>7</v>
      </c>
      <c r="C87" s="7" t="s">
        <v>178</v>
      </c>
      <c r="D87" s="7" t="s">
        <v>112</v>
      </c>
      <c r="E87" s="7" t="s">
        <v>110</v>
      </c>
      <c r="F87" s="8" t="s">
        <v>37</v>
      </c>
      <c r="G87" s="7" t="s">
        <v>145</v>
      </c>
      <c r="H87" s="7" t="s">
        <v>213</v>
      </c>
      <c r="I87" s="7" t="s">
        <v>38</v>
      </c>
      <c r="J87" s="7">
        <v>3593146</v>
      </c>
      <c r="K87" s="7"/>
    </row>
    <row r="88" spans="1:11" ht="18.75" customHeight="1">
      <c r="A88" s="7">
        <v>2</v>
      </c>
      <c r="B88" s="7">
        <v>7</v>
      </c>
      <c r="C88" s="7" t="s">
        <v>153</v>
      </c>
      <c r="D88" s="7" t="s">
        <v>110</v>
      </c>
      <c r="E88" s="7" t="s">
        <v>106</v>
      </c>
      <c r="F88" s="10" t="s">
        <v>12</v>
      </c>
      <c r="G88" s="7" t="s">
        <v>147</v>
      </c>
      <c r="H88" s="7" t="s">
        <v>207</v>
      </c>
      <c r="I88" s="7" t="s">
        <v>33</v>
      </c>
      <c r="J88" s="7">
        <v>3971832</v>
      </c>
      <c r="K88" s="7"/>
    </row>
    <row r="89" spans="1:11" ht="18.75" customHeight="1">
      <c r="A89" s="7">
        <v>3</v>
      </c>
      <c r="B89" s="7">
        <v>7</v>
      </c>
      <c r="C89" s="7" t="s">
        <v>168</v>
      </c>
      <c r="D89" s="7" t="s">
        <v>112</v>
      </c>
      <c r="E89" s="7"/>
      <c r="F89" s="10" t="s">
        <v>12</v>
      </c>
      <c r="G89" s="7" t="s">
        <v>145</v>
      </c>
      <c r="H89" s="7" t="s">
        <v>217</v>
      </c>
      <c r="I89" s="7" t="s">
        <v>32</v>
      </c>
      <c r="J89" s="7">
        <v>289101</v>
      </c>
      <c r="K89" s="7"/>
    </row>
    <row r="90" spans="1:11" ht="18.75" customHeight="1"/>
    <row r="91" spans="1:11" ht="14.25" customHeight="1"/>
    <row r="92" spans="1:11" ht="14.25" customHeight="1"/>
    <row r="93" spans="1:11" ht="14.25" customHeight="1"/>
    <row r="94" spans="1:11" ht="14.25" customHeight="1"/>
    <row r="95" spans="1:11" ht="14.25" customHeight="1"/>
    <row r="96" spans="1:11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  <pageSetUpPr fitToPage="1"/>
  </sheetPr>
  <dimension ref="A1:L103"/>
  <sheetViews>
    <sheetView view="pageBreakPreview" topLeftCell="G1" zoomScaleNormal="100" zoomScaleSheetLayoutView="100" workbookViewId="0">
      <pane ySplit="1" topLeftCell="A2" activePane="bottomLeft" state="frozen"/>
      <selection pane="bottomLeft" activeCell="N43" sqref="N43"/>
    </sheetView>
  </sheetViews>
  <sheetFormatPr baseColWidth="10" defaultColWidth="9" defaultRowHeight="21.75" customHeight="1"/>
  <cols>
    <col min="1" max="1" width="3.33203125" style="1" customWidth="1"/>
    <col min="2" max="2" width="3.1640625" style="1" customWidth="1"/>
    <col min="3" max="3" width="14" style="1" customWidth="1"/>
    <col min="4" max="5" width="8.1640625" style="1" customWidth="1"/>
    <col min="6" max="10" width="12.1640625" style="1" customWidth="1"/>
    <col min="11" max="11" width="37.6640625" style="1" customWidth="1"/>
    <col min="12" max="12" width="4" style="1" customWidth="1"/>
    <col min="13" max="13" width="7.1640625" style="1" bestFit="1" customWidth="1"/>
    <col min="14" max="14" width="4" style="1" customWidth="1"/>
    <col min="15" max="16384" width="9" style="1"/>
  </cols>
  <sheetData>
    <row r="1" spans="1:11" ht="24" customHeight="1" thickTop="1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559</v>
      </c>
      <c r="H1" s="13" t="s">
        <v>6</v>
      </c>
      <c r="I1" s="13" t="s">
        <v>7</v>
      </c>
      <c r="J1" s="13" t="s">
        <v>8</v>
      </c>
      <c r="K1" s="13" t="s">
        <v>554</v>
      </c>
    </row>
    <row r="2" spans="1:11" ht="22.5" customHeight="1">
      <c r="A2" s="7">
        <v>1</v>
      </c>
      <c r="B2" s="7">
        <v>1</v>
      </c>
      <c r="C2" s="7" t="s">
        <v>139</v>
      </c>
      <c r="D2" s="7" t="s">
        <v>106</v>
      </c>
      <c r="E2" s="7" t="s">
        <v>107</v>
      </c>
      <c r="F2" s="10" t="s">
        <v>12</v>
      </c>
      <c r="G2" s="7" t="s">
        <v>152</v>
      </c>
      <c r="H2" s="7" t="s">
        <v>198</v>
      </c>
      <c r="I2" s="33" t="s">
        <v>47</v>
      </c>
      <c r="J2" s="7">
        <v>8004675</v>
      </c>
      <c r="K2" s="7"/>
    </row>
    <row r="3" spans="1:11" ht="22.5" customHeight="1">
      <c r="A3" s="16">
        <v>2</v>
      </c>
      <c r="B3" s="16">
        <v>1</v>
      </c>
      <c r="C3" s="16" t="s">
        <v>140</v>
      </c>
      <c r="D3" s="19" t="s">
        <v>108</v>
      </c>
      <c r="E3" s="19"/>
      <c r="F3" s="19" t="s">
        <v>19</v>
      </c>
      <c r="G3" s="7" t="s">
        <v>151</v>
      </c>
      <c r="H3" s="19" t="s">
        <v>200</v>
      </c>
      <c r="I3" s="19" t="s">
        <v>100</v>
      </c>
      <c r="J3" s="19">
        <v>7465208</v>
      </c>
      <c r="K3" s="7"/>
    </row>
    <row r="4" spans="1:11" ht="22.5" customHeight="1">
      <c r="A4" s="7">
        <v>3</v>
      </c>
      <c r="B4" s="7">
        <v>1</v>
      </c>
      <c r="C4" s="7" t="s">
        <v>141</v>
      </c>
      <c r="D4" s="7" t="s">
        <v>113</v>
      </c>
      <c r="E4" s="7" t="s">
        <v>105</v>
      </c>
      <c r="F4" s="9" t="s">
        <v>11</v>
      </c>
      <c r="G4" s="7" t="s">
        <v>153</v>
      </c>
      <c r="H4" s="7" t="s">
        <v>202</v>
      </c>
      <c r="I4" s="7">
        <v>10160</v>
      </c>
      <c r="J4" s="7">
        <v>4142667</v>
      </c>
      <c r="K4" s="7"/>
    </row>
    <row r="5" spans="1:11" ht="22.5" customHeight="1">
      <c r="A5" s="7">
        <v>4</v>
      </c>
      <c r="B5" s="7">
        <v>1</v>
      </c>
      <c r="C5" s="7" t="s">
        <v>142</v>
      </c>
      <c r="D5" s="7" t="s">
        <v>111</v>
      </c>
      <c r="E5" s="7" t="s">
        <v>106</v>
      </c>
      <c r="F5" s="8" t="s">
        <v>25</v>
      </c>
      <c r="G5" s="7" t="s">
        <v>154</v>
      </c>
      <c r="H5" s="7" t="s">
        <v>204</v>
      </c>
      <c r="I5" s="7" t="s">
        <v>38</v>
      </c>
      <c r="J5" s="7">
        <v>7532782</v>
      </c>
      <c r="K5" s="7"/>
    </row>
    <row r="6" spans="1:11" ht="22.5" customHeight="1">
      <c r="A6" s="7">
        <v>5</v>
      </c>
      <c r="B6" s="7">
        <v>1</v>
      </c>
      <c r="C6" s="7" t="s">
        <v>143</v>
      </c>
      <c r="D6" s="7" t="s">
        <v>106</v>
      </c>
      <c r="E6" s="7" t="s">
        <v>105</v>
      </c>
      <c r="F6" s="9" t="s">
        <v>11</v>
      </c>
      <c r="G6" s="7" t="s">
        <v>155</v>
      </c>
      <c r="H6" s="7" t="s">
        <v>206</v>
      </c>
      <c r="I6" s="7">
        <v>18220</v>
      </c>
      <c r="J6" s="7">
        <v>2766477</v>
      </c>
      <c r="K6" s="7"/>
    </row>
    <row r="7" spans="1:11" ht="22.5" customHeight="1">
      <c r="A7" s="7">
        <v>6</v>
      </c>
      <c r="B7" s="7">
        <v>1</v>
      </c>
      <c r="C7" s="7" t="s">
        <v>144</v>
      </c>
      <c r="D7" s="7" t="s">
        <v>107</v>
      </c>
      <c r="E7" s="7" t="s">
        <v>106</v>
      </c>
      <c r="F7" s="10" t="s">
        <v>12</v>
      </c>
      <c r="G7" s="7" t="s">
        <v>152</v>
      </c>
      <c r="H7" s="7" t="s">
        <v>208</v>
      </c>
      <c r="I7" s="7" t="s">
        <v>46</v>
      </c>
      <c r="J7" s="7">
        <v>3034254</v>
      </c>
      <c r="K7" s="7"/>
    </row>
    <row r="8" spans="1:11" ht="22.5" customHeight="1">
      <c r="A8" s="33">
        <v>7</v>
      </c>
      <c r="B8" s="33">
        <v>1</v>
      </c>
      <c r="C8" s="33" t="s">
        <v>145</v>
      </c>
      <c r="D8" s="33" t="s">
        <v>111</v>
      </c>
      <c r="E8" s="33" t="s">
        <v>108</v>
      </c>
      <c r="F8" s="10" t="s">
        <v>12</v>
      </c>
      <c r="G8" s="7" t="s">
        <v>151</v>
      </c>
      <c r="H8" s="33" t="s">
        <v>210</v>
      </c>
      <c r="I8" s="7" t="s">
        <v>40</v>
      </c>
      <c r="J8" s="33">
        <v>8128057</v>
      </c>
      <c r="K8" s="7"/>
    </row>
    <row r="9" spans="1:11" ht="22.5" customHeight="1">
      <c r="A9" s="7">
        <v>8</v>
      </c>
      <c r="B9" s="7">
        <v>1</v>
      </c>
      <c r="C9" s="33" t="s">
        <v>146</v>
      </c>
      <c r="D9" s="33" t="s">
        <v>104</v>
      </c>
      <c r="E9" s="33" t="s">
        <v>108</v>
      </c>
      <c r="F9" s="10" t="s">
        <v>12</v>
      </c>
      <c r="G9" s="7" t="s">
        <v>153</v>
      </c>
      <c r="H9" s="33" t="s">
        <v>214</v>
      </c>
      <c r="I9" s="7" t="s">
        <v>102</v>
      </c>
      <c r="J9" s="33">
        <v>5002885</v>
      </c>
      <c r="K9" s="7"/>
    </row>
    <row r="10" spans="1:11" ht="22.5" customHeight="1">
      <c r="A10" s="7">
        <v>9</v>
      </c>
      <c r="B10" s="7">
        <v>1</v>
      </c>
      <c r="C10" s="7" t="s">
        <v>147</v>
      </c>
      <c r="D10" s="2" t="s">
        <v>107</v>
      </c>
      <c r="E10" s="2" t="s">
        <v>111</v>
      </c>
      <c r="F10" s="3" t="s">
        <v>12</v>
      </c>
      <c r="G10" s="7" t="s">
        <v>154</v>
      </c>
      <c r="H10" s="2" t="s">
        <v>218</v>
      </c>
      <c r="I10" s="2" t="s">
        <v>45</v>
      </c>
      <c r="J10" s="2">
        <v>7165584</v>
      </c>
      <c r="K10" s="7"/>
    </row>
    <row r="11" spans="1:11" ht="22.5" customHeight="1">
      <c r="A11" s="7">
        <v>10</v>
      </c>
      <c r="B11" s="7">
        <v>1</v>
      </c>
      <c r="C11" s="7" t="s">
        <v>148</v>
      </c>
      <c r="D11" s="7" t="s">
        <v>107</v>
      </c>
      <c r="E11" s="7"/>
      <c r="F11" s="3" t="s">
        <v>12</v>
      </c>
      <c r="G11" s="7" t="s">
        <v>155</v>
      </c>
      <c r="H11" s="7" t="s">
        <v>222</v>
      </c>
      <c r="I11" s="7" t="s">
        <v>101</v>
      </c>
      <c r="J11" s="7">
        <v>1531548</v>
      </c>
      <c r="K11" s="7"/>
    </row>
    <row r="12" spans="1:11" ht="22.5" customHeight="1">
      <c r="A12" s="7">
        <v>11</v>
      </c>
      <c r="B12" s="7">
        <v>1</v>
      </c>
      <c r="C12" s="7" t="s">
        <v>149</v>
      </c>
      <c r="D12" s="7" t="s">
        <v>106</v>
      </c>
      <c r="E12" s="7" t="s">
        <v>109</v>
      </c>
      <c r="F12" s="3" t="s">
        <v>12</v>
      </c>
      <c r="G12" s="7" t="s">
        <v>152</v>
      </c>
      <c r="H12" s="7" t="s">
        <v>224</v>
      </c>
      <c r="I12" s="7" t="s">
        <v>45</v>
      </c>
      <c r="J12" s="7">
        <v>5945781</v>
      </c>
      <c r="K12" s="7"/>
    </row>
    <row r="13" spans="1:11" ht="22.5" customHeight="1">
      <c r="A13" s="7">
        <v>12</v>
      </c>
      <c r="B13" s="7">
        <v>1</v>
      </c>
      <c r="C13" s="7" t="s">
        <v>150</v>
      </c>
      <c r="D13" s="7" t="s">
        <v>105</v>
      </c>
      <c r="E13" s="7" t="s">
        <v>107</v>
      </c>
      <c r="F13" s="8" t="s">
        <v>25</v>
      </c>
      <c r="G13" s="7" t="s">
        <v>151</v>
      </c>
      <c r="H13" s="7" t="s">
        <v>206</v>
      </c>
      <c r="I13" s="7" t="s">
        <v>38</v>
      </c>
      <c r="J13" s="7">
        <v>7488641</v>
      </c>
      <c r="K13" s="7"/>
    </row>
    <row r="14" spans="1:11" ht="22.5" customHeight="1">
      <c r="A14" s="7">
        <v>13</v>
      </c>
      <c r="B14" s="7">
        <v>1</v>
      </c>
      <c r="C14" s="7" t="s">
        <v>151</v>
      </c>
      <c r="D14" s="7" t="s">
        <v>104</v>
      </c>
      <c r="E14" s="7" t="s">
        <v>104</v>
      </c>
      <c r="F14" s="10" t="s">
        <v>12</v>
      </c>
      <c r="G14" s="7" t="s">
        <v>153</v>
      </c>
      <c r="H14" s="7" t="s">
        <v>226</v>
      </c>
      <c r="I14" s="7" t="s">
        <v>44</v>
      </c>
      <c r="J14" s="7">
        <v>1548246</v>
      </c>
      <c r="K14" s="7"/>
    </row>
    <row r="15" spans="1:11" ht="22.5" customHeight="1">
      <c r="A15" s="7">
        <v>14</v>
      </c>
      <c r="B15" s="7">
        <v>1</v>
      </c>
      <c r="C15" s="7" t="s">
        <v>152</v>
      </c>
      <c r="D15" s="7" t="s">
        <v>106</v>
      </c>
      <c r="E15" s="7" t="s">
        <v>113</v>
      </c>
      <c r="F15" s="10" t="s">
        <v>12</v>
      </c>
      <c r="G15" s="7" t="s">
        <v>154</v>
      </c>
      <c r="H15" s="7" t="s">
        <v>228</v>
      </c>
      <c r="I15" s="7" t="s">
        <v>46</v>
      </c>
      <c r="J15" s="7">
        <v>9444351</v>
      </c>
      <c r="K15" s="7"/>
    </row>
    <row r="16" spans="1:11" ht="22.5" customHeight="1">
      <c r="A16" s="7">
        <v>1</v>
      </c>
      <c r="B16" s="7">
        <v>2</v>
      </c>
      <c r="C16" s="7" t="s">
        <v>151</v>
      </c>
      <c r="D16" s="7" t="s">
        <v>107</v>
      </c>
      <c r="E16" s="7" t="s">
        <v>104</v>
      </c>
      <c r="F16" s="9" t="s">
        <v>11</v>
      </c>
      <c r="G16" s="7" t="s">
        <v>155</v>
      </c>
      <c r="H16" s="7" t="s">
        <v>230</v>
      </c>
      <c r="I16" s="7">
        <v>18200</v>
      </c>
      <c r="J16" s="7">
        <v>2914321</v>
      </c>
      <c r="K16" s="7"/>
    </row>
    <row r="17" spans="1:11" ht="22.5" customHeight="1">
      <c r="A17" s="7">
        <v>2</v>
      </c>
      <c r="B17" s="7">
        <v>2</v>
      </c>
      <c r="C17" s="7" t="s">
        <v>153</v>
      </c>
      <c r="D17" s="7" t="s">
        <v>104</v>
      </c>
      <c r="E17" s="7" t="s">
        <v>108</v>
      </c>
      <c r="F17" s="8" t="s">
        <v>25</v>
      </c>
      <c r="G17" s="7" t="s">
        <v>152</v>
      </c>
      <c r="H17" s="7" t="s">
        <v>206</v>
      </c>
      <c r="I17" s="7" t="s">
        <v>86</v>
      </c>
      <c r="J17" s="7">
        <v>1664817</v>
      </c>
      <c r="K17" s="7"/>
    </row>
    <row r="18" spans="1:11" ht="22.5" customHeight="1">
      <c r="A18" s="7">
        <v>3</v>
      </c>
      <c r="B18" s="7">
        <v>2</v>
      </c>
      <c r="C18" s="7" t="s">
        <v>154</v>
      </c>
      <c r="D18" s="7" t="s">
        <v>109</v>
      </c>
      <c r="E18" s="7" t="s">
        <v>104</v>
      </c>
      <c r="F18" s="8" t="s">
        <v>25</v>
      </c>
      <c r="G18" s="7" t="s">
        <v>151</v>
      </c>
      <c r="H18" s="7" t="s">
        <v>232</v>
      </c>
      <c r="I18" s="7" t="s">
        <v>86</v>
      </c>
      <c r="J18" s="7">
        <v>6398130</v>
      </c>
      <c r="K18" s="7"/>
    </row>
    <row r="19" spans="1:11" ht="22.5" customHeight="1">
      <c r="A19" s="7">
        <v>4</v>
      </c>
      <c r="B19" s="7">
        <v>2</v>
      </c>
      <c r="C19" s="7" t="s">
        <v>155</v>
      </c>
      <c r="D19" s="7" t="s">
        <v>108</v>
      </c>
      <c r="E19" s="7" t="s">
        <v>111</v>
      </c>
      <c r="F19" s="8" t="s">
        <v>25</v>
      </c>
      <c r="G19" s="7" t="s">
        <v>153</v>
      </c>
      <c r="H19" s="7" t="s">
        <v>210</v>
      </c>
      <c r="I19" s="7" t="s">
        <v>91</v>
      </c>
      <c r="J19" s="7">
        <v>3300901</v>
      </c>
      <c r="K19" s="7"/>
    </row>
    <row r="20" spans="1:11" ht="22.5" customHeight="1">
      <c r="A20" s="7">
        <v>5</v>
      </c>
      <c r="B20" s="7">
        <v>2</v>
      </c>
      <c r="C20" s="7" t="s">
        <v>156</v>
      </c>
      <c r="D20" s="7" t="s">
        <v>106</v>
      </c>
      <c r="E20" s="7" t="s">
        <v>107</v>
      </c>
      <c r="F20" s="10" t="s">
        <v>82</v>
      </c>
      <c r="G20" s="7" t="s">
        <v>154</v>
      </c>
      <c r="H20" s="7" t="s">
        <v>234</v>
      </c>
      <c r="I20" s="7" t="s">
        <v>77</v>
      </c>
      <c r="J20" s="7">
        <v>2280659</v>
      </c>
      <c r="K20" s="7"/>
    </row>
    <row r="21" spans="1:11" ht="22.5" customHeight="1">
      <c r="A21" s="15">
        <v>6</v>
      </c>
      <c r="B21" s="15">
        <v>2</v>
      </c>
      <c r="C21" s="15" t="s">
        <v>157</v>
      </c>
      <c r="D21" s="15" t="s">
        <v>105</v>
      </c>
      <c r="E21" s="15" t="s">
        <v>107</v>
      </c>
      <c r="F21" s="15" t="s">
        <v>82</v>
      </c>
      <c r="G21" s="7" t="s">
        <v>155</v>
      </c>
      <c r="H21" s="15" t="s">
        <v>236</v>
      </c>
      <c r="I21" s="15" t="s">
        <v>83</v>
      </c>
      <c r="J21" s="15">
        <v>1952881</v>
      </c>
      <c r="K21" s="7"/>
    </row>
    <row r="22" spans="1:11" ht="22.5" customHeight="1">
      <c r="A22" s="7">
        <v>7</v>
      </c>
      <c r="B22" s="7">
        <v>2</v>
      </c>
      <c r="C22" s="7" t="s">
        <v>146</v>
      </c>
      <c r="D22" s="7" t="s">
        <v>110</v>
      </c>
      <c r="E22" s="7" t="s">
        <v>107</v>
      </c>
      <c r="F22" s="10" t="s">
        <v>82</v>
      </c>
      <c r="G22" s="7" t="s">
        <v>152</v>
      </c>
      <c r="H22" s="7" t="s">
        <v>214</v>
      </c>
      <c r="I22" s="7" t="s">
        <v>92</v>
      </c>
      <c r="J22" s="7">
        <v>4545103</v>
      </c>
      <c r="K22" s="7"/>
    </row>
    <row r="23" spans="1:11" ht="22.5" customHeight="1">
      <c r="A23" s="7">
        <v>8</v>
      </c>
      <c r="B23" s="7">
        <v>2</v>
      </c>
      <c r="C23" s="7" t="s">
        <v>145</v>
      </c>
      <c r="D23" s="7" t="s">
        <v>110</v>
      </c>
      <c r="E23" s="7" t="s">
        <v>110</v>
      </c>
      <c r="F23" s="10" t="s">
        <v>82</v>
      </c>
      <c r="G23" s="7" t="s">
        <v>151</v>
      </c>
      <c r="H23" s="7" t="s">
        <v>238</v>
      </c>
      <c r="I23" s="7" t="s">
        <v>93</v>
      </c>
      <c r="J23" s="7">
        <v>1478260</v>
      </c>
      <c r="K23" s="7"/>
    </row>
    <row r="24" spans="1:11" ht="22.5" customHeight="1">
      <c r="A24" s="7">
        <v>9</v>
      </c>
      <c r="B24" s="7">
        <v>2</v>
      </c>
      <c r="C24" s="7" t="s">
        <v>158</v>
      </c>
      <c r="D24" s="7" t="s">
        <v>110</v>
      </c>
      <c r="E24" s="7" t="s">
        <v>112</v>
      </c>
      <c r="F24" s="8" t="s">
        <v>25</v>
      </c>
      <c r="G24" s="7" t="s">
        <v>153</v>
      </c>
      <c r="H24" s="7" t="s">
        <v>240</v>
      </c>
      <c r="I24" s="7" t="s">
        <v>86</v>
      </c>
      <c r="J24" s="7">
        <v>3194302</v>
      </c>
      <c r="K24" s="7"/>
    </row>
    <row r="25" spans="1:11" ht="22.5" customHeight="1">
      <c r="A25" s="7">
        <v>1</v>
      </c>
      <c r="B25" s="7">
        <v>3</v>
      </c>
      <c r="C25" s="7" t="s">
        <v>159</v>
      </c>
      <c r="D25" s="7" t="s">
        <v>111</v>
      </c>
      <c r="E25" s="7" t="s">
        <v>104</v>
      </c>
      <c r="F25" s="8" t="s">
        <v>25</v>
      </c>
      <c r="G25" s="7" t="s">
        <v>154</v>
      </c>
      <c r="H25" s="7" t="s">
        <v>204</v>
      </c>
      <c r="I25" s="7" t="s">
        <v>75</v>
      </c>
      <c r="J25" s="7">
        <v>529700</v>
      </c>
      <c r="K25" s="7"/>
    </row>
    <row r="26" spans="1:11" ht="22.5" customHeight="1">
      <c r="A26" s="16">
        <v>2</v>
      </c>
      <c r="B26" s="16">
        <v>3</v>
      </c>
      <c r="C26" s="16" t="s">
        <v>160</v>
      </c>
      <c r="D26" s="16" t="s">
        <v>107</v>
      </c>
      <c r="E26" s="16" t="s">
        <v>106</v>
      </c>
      <c r="F26" s="16" t="s">
        <v>81</v>
      </c>
      <c r="G26" s="7" t="s">
        <v>155</v>
      </c>
      <c r="H26" s="16"/>
      <c r="I26" s="16"/>
      <c r="J26" s="16"/>
      <c r="K26" s="7"/>
    </row>
    <row r="27" spans="1:11" ht="22.5" customHeight="1">
      <c r="A27" s="7">
        <v>3</v>
      </c>
      <c r="B27" s="7">
        <v>3</v>
      </c>
      <c r="C27" s="7" t="s">
        <v>161</v>
      </c>
      <c r="D27" s="7" t="s">
        <v>104</v>
      </c>
      <c r="E27" s="7" t="s">
        <v>111</v>
      </c>
      <c r="F27" s="10" t="s">
        <v>67</v>
      </c>
      <c r="G27" s="7" t="s">
        <v>152</v>
      </c>
      <c r="H27" s="7" t="s">
        <v>244</v>
      </c>
      <c r="I27" s="7" t="s">
        <v>76</v>
      </c>
      <c r="J27" s="7">
        <v>43699501</v>
      </c>
      <c r="K27" s="7"/>
    </row>
    <row r="28" spans="1:11" ht="22.5" customHeight="1">
      <c r="A28" s="7">
        <v>4</v>
      </c>
      <c r="B28" s="7">
        <v>3</v>
      </c>
      <c r="C28" s="7" t="s">
        <v>162</v>
      </c>
      <c r="D28" s="7" t="s">
        <v>107</v>
      </c>
      <c r="E28" s="7" t="s">
        <v>105</v>
      </c>
      <c r="F28" s="10" t="s">
        <v>67</v>
      </c>
      <c r="G28" s="7" t="s">
        <v>151</v>
      </c>
      <c r="H28" s="7" t="s">
        <v>246</v>
      </c>
      <c r="I28" s="7" t="s">
        <v>77</v>
      </c>
      <c r="J28" s="7">
        <v>9354679</v>
      </c>
      <c r="K28" s="7"/>
    </row>
    <row r="29" spans="1:11" ht="22.5" customHeight="1">
      <c r="A29" s="7">
        <v>5</v>
      </c>
      <c r="B29" s="7">
        <v>3</v>
      </c>
      <c r="C29" s="7" t="s">
        <v>163</v>
      </c>
      <c r="D29" s="7" t="s">
        <v>104</v>
      </c>
      <c r="E29" s="7" t="s">
        <v>112</v>
      </c>
      <c r="F29" s="9" t="s">
        <v>11</v>
      </c>
      <c r="G29" s="7" t="s">
        <v>153</v>
      </c>
      <c r="H29" s="7" t="s">
        <v>248</v>
      </c>
      <c r="I29" s="7">
        <v>10160</v>
      </c>
      <c r="J29" s="7">
        <v>6019294</v>
      </c>
      <c r="K29" s="7"/>
    </row>
    <row r="30" spans="1:11" ht="22.5" customHeight="1">
      <c r="A30" s="7">
        <v>6</v>
      </c>
      <c r="B30" s="7">
        <v>3</v>
      </c>
      <c r="C30" s="7" t="s">
        <v>156</v>
      </c>
      <c r="D30" s="7" t="s">
        <v>113</v>
      </c>
      <c r="E30" s="7" t="s">
        <v>110</v>
      </c>
      <c r="F30" s="10" t="s">
        <v>67</v>
      </c>
      <c r="G30" s="7" t="s">
        <v>154</v>
      </c>
      <c r="H30" s="7" t="s">
        <v>250</v>
      </c>
      <c r="I30" s="7" t="s">
        <v>78</v>
      </c>
      <c r="J30" s="7">
        <v>43040371</v>
      </c>
      <c r="K30" s="7"/>
    </row>
    <row r="31" spans="1:11" ht="22.5" customHeight="1">
      <c r="A31" s="7">
        <v>7</v>
      </c>
      <c r="B31" s="7">
        <v>3</v>
      </c>
      <c r="C31" s="7" t="s">
        <v>164</v>
      </c>
      <c r="D31" s="7" t="s">
        <v>111</v>
      </c>
      <c r="E31" s="7" t="s">
        <v>104</v>
      </c>
      <c r="F31" s="10" t="s">
        <v>67</v>
      </c>
      <c r="G31" s="7" t="s">
        <v>155</v>
      </c>
      <c r="H31" s="7" t="s">
        <v>252</v>
      </c>
      <c r="I31" s="7" t="s">
        <v>79</v>
      </c>
      <c r="J31" s="7">
        <v>4442193</v>
      </c>
      <c r="K31" s="7"/>
    </row>
    <row r="32" spans="1:11" ht="22.5" customHeight="1">
      <c r="A32" s="7">
        <v>8</v>
      </c>
      <c r="B32" s="7">
        <v>3</v>
      </c>
      <c r="C32" s="7" t="s">
        <v>165</v>
      </c>
      <c r="D32" s="7" t="s">
        <v>110</v>
      </c>
      <c r="E32" s="7" t="s">
        <v>104</v>
      </c>
      <c r="F32" s="9" t="s">
        <v>11</v>
      </c>
      <c r="G32" s="7" t="s">
        <v>152</v>
      </c>
      <c r="H32" s="7" t="s">
        <v>220</v>
      </c>
      <c r="I32" s="7">
        <v>18220</v>
      </c>
      <c r="J32" s="7">
        <v>8054921</v>
      </c>
      <c r="K32" s="7"/>
    </row>
    <row r="33" spans="1:12" ht="22.5" customHeight="1">
      <c r="A33" s="15">
        <v>9</v>
      </c>
      <c r="B33" s="15">
        <v>3</v>
      </c>
      <c r="C33" s="15" t="s">
        <v>166</v>
      </c>
      <c r="D33" s="15" t="s">
        <v>109</v>
      </c>
      <c r="E33" s="15" t="s">
        <v>108</v>
      </c>
      <c r="F33" s="15" t="s">
        <v>67</v>
      </c>
      <c r="G33" s="7" t="s">
        <v>151</v>
      </c>
      <c r="H33" s="15" t="s">
        <v>254</v>
      </c>
      <c r="I33" s="15" t="s">
        <v>80</v>
      </c>
      <c r="J33" s="15">
        <v>7044139</v>
      </c>
      <c r="K33" s="7"/>
    </row>
    <row r="34" spans="1:12" ht="22.5" customHeight="1">
      <c r="A34" s="7">
        <v>10</v>
      </c>
      <c r="B34" s="7">
        <v>3</v>
      </c>
      <c r="C34" s="7" t="s">
        <v>167</v>
      </c>
      <c r="D34" s="7" t="s">
        <v>104</v>
      </c>
      <c r="E34" s="7" t="s">
        <v>105</v>
      </c>
      <c r="F34" s="10" t="s">
        <v>67</v>
      </c>
      <c r="G34" s="7" t="s">
        <v>153</v>
      </c>
      <c r="H34" s="7" t="s">
        <v>216</v>
      </c>
      <c r="I34" s="7" t="s">
        <v>77</v>
      </c>
      <c r="J34" s="7">
        <v>3643213</v>
      </c>
      <c r="K34" s="7"/>
    </row>
    <row r="35" spans="1:12" ht="22.5" customHeight="1">
      <c r="A35" s="15">
        <v>11</v>
      </c>
      <c r="B35" s="15">
        <v>3</v>
      </c>
      <c r="C35" s="15" t="s">
        <v>168</v>
      </c>
      <c r="D35" s="15" t="s">
        <v>107</v>
      </c>
      <c r="E35" s="15" t="s">
        <v>113</v>
      </c>
      <c r="F35" s="15" t="s">
        <v>25</v>
      </c>
      <c r="G35" s="7" t="s">
        <v>154</v>
      </c>
      <c r="H35" s="15" t="s">
        <v>216</v>
      </c>
      <c r="I35" s="15" t="s">
        <v>38</v>
      </c>
      <c r="J35" s="15">
        <v>4224109</v>
      </c>
      <c r="K35" s="53"/>
    </row>
    <row r="36" spans="1:12" ht="22.5" customHeight="1">
      <c r="A36" s="7">
        <v>12</v>
      </c>
      <c r="B36" s="7">
        <v>3</v>
      </c>
      <c r="C36" s="7" t="s">
        <v>169</v>
      </c>
      <c r="D36" s="7" t="s">
        <v>107</v>
      </c>
      <c r="E36" s="7" t="s">
        <v>109</v>
      </c>
      <c r="F36" s="11" t="s">
        <v>25</v>
      </c>
      <c r="G36" s="7" t="s">
        <v>155</v>
      </c>
      <c r="H36" s="7" t="s">
        <v>222</v>
      </c>
      <c r="I36" s="7" t="s">
        <v>71</v>
      </c>
      <c r="J36" s="7">
        <v>2155864</v>
      </c>
      <c r="K36" s="53"/>
    </row>
    <row r="37" spans="1:12" ht="22.5" customHeight="1">
      <c r="A37" s="7">
        <v>13</v>
      </c>
      <c r="B37" s="7">
        <v>3</v>
      </c>
      <c r="C37" s="7" t="s">
        <v>170</v>
      </c>
      <c r="D37" s="7" t="s">
        <v>107</v>
      </c>
      <c r="E37" s="7" t="s">
        <v>104</v>
      </c>
      <c r="F37" s="10" t="s">
        <v>12</v>
      </c>
      <c r="G37" s="7" t="s">
        <v>152</v>
      </c>
      <c r="H37" s="7" t="s">
        <v>257</v>
      </c>
      <c r="I37" s="7" t="s">
        <v>49</v>
      </c>
      <c r="J37" s="7">
        <v>9981055</v>
      </c>
      <c r="K37" s="53"/>
    </row>
    <row r="38" spans="1:12" ht="22.5" customHeight="1">
      <c r="A38" s="7">
        <v>14</v>
      </c>
      <c r="B38" s="7">
        <v>3</v>
      </c>
      <c r="C38" s="7" t="s">
        <v>171</v>
      </c>
      <c r="D38" s="7" t="s">
        <v>106</v>
      </c>
      <c r="E38" s="7" t="s">
        <v>111</v>
      </c>
      <c r="F38" s="10" t="s">
        <v>67</v>
      </c>
      <c r="G38" s="7" t="s">
        <v>151</v>
      </c>
      <c r="H38" s="7" t="s">
        <v>214</v>
      </c>
      <c r="I38" s="7" t="s">
        <v>40</v>
      </c>
      <c r="J38" s="7">
        <v>4784756</v>
      </c>
      <c r="K38" s="7"/>
    </row>
    <row r="39" spans="1:12" ht="22.5" customHeight="1">
      <c r="A39" s="15">
        <v>15</v>
      </c>
      <c r="B39" s="15">
        <v>3</v>
      </c>
      <c r="C39" s="15" t="s">
        <v>172</v>
      </c>
      <c r="D39" s="15" t="s">
        <v>109</v>
      </c>
      <c r="E39" s="15" t="s">
        <v>106</v>
      </c>
      <c r="F39" s="15" t="s">
        <v>67</v>
      </c>
      <c r="G39" s="7" t="s">
        <v>153</v>
      </c>
      <c r="H39" s="15" t="s">
        <v>259</v>
      </c>
      <c r="I39" s="15" t="s">
        <v>77</v>
      </c>
      <c r="J39" s="15">
        <v>2457937</v>
      </c>
      <c r="K39" s="7"/>
    </row>
    <row r="40" spans="1:12" ht="22.5" customHeight="1">
      <c r="A40" s="7">
        <v>1</v>
      </c>
      <c r="B40" s="7">
        <v>4</v>
      </c>
      <c r="C40" s="7" t="s">
        <v>144</v>
      </c>
      <c r="D40" s="7" t="s">
        <v>108</v>
      </c>
      <c r="E40" s="7" t="s">
        <v>109</v>
      </c>
      <c r="F40" s="9" t="s">
        <v>56</v>
      </c>
      <c r="G40" s="7" t="s">
        <v>154</v>
      </c>
      <c r="H40" s="7" t="s">
        <v>208</v>
      </c>
      <c r="I40" s="7">
        <v>18270</v>
      </c>
      <c r="J40" s="7">
        <v>6911242</v>
      </c>
      <c r="K40" s="7"/>
    </row>
    <row r="41" spans="1:12" ht="22.5" customHeight="1">
      <c r="A41" s="7">
        <v>2</v>
      </c>
      <c r="B41" s="7">
        <v>4</v>
      </c>
      <c r="C41" s="7" t="s">
        <v>161</v>
      </c>
      <c r="D41" s="7" t="s">
        <v>111</v>
      </c>
      <c r="E41" s="7" t="s">
        <v>107</v>
      </c>
      <c r="F41" s="9" t="s">
        <v>56</v>
      </c>
      <c r="G41" s="7" t="s">
        <v>155</v>
      </c>
      <c r="H41" s="7" t="s">
        <v>240</v>
      </c>
      <c r="I41" s="7">
        <v>18200</v>
      </c>
      <c r="J41" s="7">
        <v>3022163</v>
      </c>
      <c r="K41" s="7"/>
    </row>
    <row r="42" spans="1:12" ht="22.5" customHeight="1">
      <c r="A42" s="7">
        <v>3</v>
      </c>
      <c r="B42" s="7">
        <v>4</v>
      </c>
      <c r="C42" s="7" t="s">
        <v>144</v>
      </c>
      <c r="D42" s="7" t="s">
        <v>105</v>
      </c>
      <c r="E42" s="7" t="s">
        <v>108</v>
      </c>
      <c r="F42" s="11" t="s">
        <v>25</v>
      </c>
      <c r="G42" s="7" t="s">
        <v>152</v>
      </c>
      <c r="H42" s="7" t="s">
        <v>216</v>
      </c>
      <c r="I42" s="7" t="s">
        <v>55</v>
      </c>
      <c r="J42" s="7">
        <v>8264094</v>
      </c>
      <c r="K42" s="7"/>
    </row>
    <row r="43" spans="1:12" ht="22.5" customHeight="1">
      <c r="A43" s="7">
        <v>4</v>
      </c>
      <c r="B43" s="7">
        <v>4</v>
      </c>
      <c r="C43" s="7" t="s">
        <v>173</v>
      </c>
      <c r="D43" s="7" t="s">
        <v>110</v>
      </c>
      <c r="E43" s="7" t="s">
        <v>111</v>
      </c>
      <c r="F43" s="10" t="s">
        <v>57</v>
      </c>
      <c r="G43" s="7" t="s">
        <v>151</v>
      </c>
      <c r="H43" s="7" t="s">
        <v>220</v>
      </c>
      <c r="I43" s="7" t="s">
        <v>33</v>
      </c>
      <c r="J43" s="7">
        <v>6780843</v>
      </c>
      <c r="K43" s="7"/>
    </row>
    <row r="44" spans="1:12" ht="22.5" customHeight="1">
      <c r="A44" s="7">
        <v>5</v>
      </c>
      <c r="B44" s="7">
        <v>4</v>
      </c>
      <c r="C44" s="7" t="s">
        <v>174</v>
      </c>
      <c r="D44" s="7" t="s">
        <v>112</v>
      </c>
      <c r="E44" s="7" t="s">
        <v>110</v>
      </c>
      <c r="F44" s="10" t="s">
        <v>12</v>
      </c>
      <c r="G44" s="7" t="s">
        <v>153</v>
      </c>
      <c r="H44" s="7" t="s">
        <v>261</v>
      </c>
      <c r="I44" s="7" t="s">
        <v>58</v>
      </c>
      <c r="J44" s="7">
        <v>1766762</v>
      </c>
      <c r="K44" s="7"/>
    </row>
    <row r="45" spans="1:12" ht="22.5" customHeight="1">
      <c r="A45" s="7">
        <v>6</v>
      </c>
      <c r="B45" s="7">
        <v>4</v>
      </c>
      <c r="C45" s="7" t="s">
        <v>175</v>
      </c>
      <c r="D45" s="7" t="s">
        <v>110</v>
      </c>
      <c r="E45" s="7" t="s">
        <v>113</v>
      </c>
      <c r="F45" s="9" t="s">
        <v>56</v>
      </c>
      <c r="G45" s="7" t="s">
        <v>154</v>
      </c>
      <c r="H45" s="7" t="s">
        <v>210</v>
      </c>
      <c r="I45" s="7">
        <v>18290</v>
      </c>
      <c r="J45" s="7">
        <v>5970833</v>
      </c>
      <c r="K45" s="55"/>
      <c r="L45" s="54"/>
    </row>
    <row r="46" spans="1:12" ht="22.5" customHeight="1">
      <c r="A46" s="7">
        <v>1</v>
      </c>
      <c r="B46" s="7">
        <v>5</v>
      </c>
      <c r="C46" s="7" t="s">
        <v>176</v>
      </c>
      <c r="D46" s="7" t="s">
        <v>105</v>
      </c>
      <c r="E46" s="7" t="s">
        <v>110</v>
      </c>
      <c r="F46" s="11" t="s">
        <v>25</v>
      </c>
      <c r="G46" s="7" t="s">
        <v>155</v>
      </c>
      <c r="H46" s="7" t="s">
        <v>216</v>
      </c>
      <c r="I46" s="7" t="s">
        <v>38</v>
      </c>
      <c r="J46" s="7">
        <v>828580</v>
      </c>
      <c r="K46" s="55"/>
      <c r="L46" s="54"/>
    </row>
    <row r="47" spans="1:12" ht="22.5" customHeight="1">
      <c r="A47" s="7">
        <v>2</v>
      </c>
      <c r="B47" s="7">
        <v>5</v>
      </c>
      <c r="C47" s="7" t="s">
        <v>177</v>
      </c>
      <c r="D47" s="7" t="s">
        <v>109</v>
      </c>
      <c r="E47" s="7" t="s">
        <v>110</v>
      </c>
      <c r="F47" s="10" t="s">
        <v>39</v>
      </c>
      <c r="G47" s="7" t="s">
        <v>152</v>
      </c>
      <c r="H47" s="7" t="s">
        <v>263</v>
      </c>
      <c r="I47" s="7" t="s">
        <v>48</v>
      </c>
      <c r="J47" s="7">
        <v>1018499</v>
      </c>
      <c r="K47" s="55"/>
      <c r="L47" s="54"/>
    </row>
    <row r="48" spans="1:12" ht="22.5" customHeight="1">
      <c r="A48" s="7">
        <v>3</v>
      </c>
      <c r="B48" s="7">
        <v>5</v>
      </c>
      <c r="C48" s="7" t="s">
        <v>178</v>
      </c>
      <c r="D48" s="7" t="s">
        <v>107</v>
      </c>
      <c r="E48" s="7" t="s">
        <v>107</v>
      </c>
      <c r="F48" s="9" t="s">
        <v>11</v>
      </c>
      <c r="G48" s="7" t="s">
        <v>151</v>
      </c>
      <c r="H48" s="7" t="s">
        <v>265</v>
      </c>
      <c r="I48" s="7">
        <v>18220</v>
      </c>
      <c r="J48" s="7">
        <v>1352728</v>
      </c>
      <c r="K48" s="7"/>
    </row>
    <row r="49" spans="1:11" ht="22.5" customHeight="1">
      <c r="A49" s="16">
        <v>4</v>
      </c>
      <c r="B49" s="16">
        <v>5</v>
      </c>
      <c r="C49" s="16" t="s">
        <v>147</v>
      </c>
      <c r="D49" s="16" t="s">
        <v>108</v>
      </c>
      <c r="E49" s="16"/>
      <c r="F49" s="16" t="s">
        <v>50</v>
      </c>
      <c r="G49" s="7" t="s">
        <v>153</v>
      </c>
      <c r="H49" s="16"/>
      <c r="I49" s="16"/>
      <c r="J49" s="16"/>
      <c r="K49" s="7"/>
    </row>
    <row r="50" spans="1:11" ht="22.5" customHeight="1">
      <c r="A50" s="7">
        <v>5</v>
      </c>
      <c r="B50" s="7">
        <v>5</v>
      </c>
      <c r="C50" s="7" t="s">
        <v>179</v>
      </c>
      <c r="D50" s="7" t="s">
        <v>106</v>
      </c>
      <c r="E50" s="7" t="s">
        <v>107</v>
      </c>
      <c r="F50" s="10" t="s">
        <v>39</v>
      </c>
      <c r="G50" s="7" t="s">
        <v>154</v>
      </c>
      <c r="H50" s="7" t="s">
        <v>267</v>
      </c>
      <c r="I50" s="7" t="s">
        <v>45</v>
      </c>
      <c r="J50" s="7">
        <v>3043823</v>
      </c>
      <c r="K50" s="7"/>
    </row>
    <row r="51" spans="1:11" ht="22.5" customHeight="1">
      <c r="A51" s="7">
        <v>6</v>
      </c>
      <c r="B51" s="7">
        <v>5</v>
      </c>
      <c r="C51" s="7" t="s">
        <v>140</v>
      </c>
      <c r="D51" s="7"/>
      <c r="E51" s="7" t="s">
        <v>106</v>
      </c>
      <c r="F51" s="10" t="s">
        <v>39</v>
      </c>
      <c r="G51" s="7" t="s">
        <v>155</v>
      </c>
      <c r="H51" s="7" t="s">
        <v>210</v>
      </c>
      <c r="I51" s="7" t="s">
        <v>45</v>
      </c>
      <c r="J51" s="7">
        <v>392827</v>
      </c>
      <c r="K51" s="7"/>
    </row>
    <row r="52" spans="1:11" ht="22.5" customHeight="1">
      <c r="A52" s="7">
        <v>7</v>
      </c>
      <c r="B52" s="7">
        <v>5</v>
      </c>
      <c r="C52" s="7" t="s">
        <v>155</v>
      </c>
      <c r="D52" s="7" t="s">
        <v>108</v>
      </c>
      <c r="E52" s="7"/>
      <c r="F52" s="11" t="s">
        <v>25</v>
      </c>
      <c r="G52" s="7" t="s">
        <v>152</v>
      </c>
      <c r="H52" s="7" t="s">
        <v>210</v>
      </c>
      <c r="I52" s="7" t="s">
        <v>38</v>
      </c>
      <c r="J52" s="7">
        <v>5764394</v>
      </c>
      <c r="K52" s="7"/>
    </row>
    <row r="53" spans="1:11" ht="22.5" customHeight="1">
      <c r="A53" s="7">
        <v>8</v>
      </c>
      <c r="B53" s="7">
        <v>5</v>
      </c>
      <c r="C53" s="7" t="s">
        <v>176</v>
      </c>
      <c r="D53" s="7" t="s">
        <v>109</v>
      </c>
      <c r="E53" s="7" t="s">
        <v>109</v>
      </c>
      <c r="F53" s="10" t="s">
        <v>39</v>
      </c>
      <c r="G53" s="7" t="s">
        <v>151</v>
      </c>
      <c r="H53" s="7" t="s">
        <v>216</v>
      </c>
      <c r="I53" s="7" t="s">
        <v>46</v>
      </c>
      <c r="J53" s="7">
        <v>3714671</v>
      </c>
      <c r="K53" s="7"/>
    </row>
    <row r="54" spans="1:11" ht="22.5" customHeight="1">
      <c r="A54" s="7">
        <v>9</v>
      </c>
      <c r="B54" s="7">
        <v>5</v>
      </c>
      <c r="C54" s="7" t="s">
        <v>180</v>
      </c>
      <c r="D54" s="7" t="s">
        <v>110</v>
      </c>
      <c r="E54" s="7" t="s">
        <v>106</v>
      </c>
      <c r="F54" s="10" t="s">
        <v>39</v>
      </c>
      <c r="G54" s="7" t="s">
        <v>153</v>
      </c>
      <c r="H54" s="7"/>
      <c r="I54" s="7" t="s">
        <v>44</v>
      </c>
      <c r="J54" s="7">
        <v>8146235</v>
      </c>
      <c r="K54" s="7"/>
    </row>
    <row r="55" spans="1:11" ht="22.5" customHeight="1">
      <c r="A55" s="7">
        <v>10</v>
      </c>
      <c r="B55" s="7">
        <v>5</v>
      </c>
      <c r="C55" s="7" t="s">
        <v>181</v>
      </c>
      <c r="D55" s="7" t="s">
        <v>106</v>
      </c>
      <c r="E55" s="7" t="s">
        <v>110</v>
      </c>
      <c r="F55" s="10" t="s">
        <v>39</v>
      </c>
      <c r="G55" s="7" t="s">
        <v>154</v>
      </c>
      <c r="H55" s="7" t="s">
        <v>204</v>
      </c>
      <c r="I55" s="7" t="s">
        <v>47</v>
      </c>
      <c r="J55" s="7">
        <v>2951028</v>
      </c>
      <c r="K55" s="7"/>
    </row>
    <row r="56" spans="1:11" ht="22.5" customHeight="1">
      <c r="A56" s="7">
        <v>11</v>
      </c>
      <c r="B56" s="7">
        <v>5</v>
      </c>
      <c r="C56" s="7" t="s">
        <v>182</v>
      </c>
      <c r="D56" s="7" t="s">
        <v>110</v>
      </c>
      <c r="E56" s="7" t="s">
        <v>108</v>
      </c>
      <c r="F56" s="11" t="s">
        <v>25</v>
      </c>
      <c r="G56" s="7" t="s">
        <v>155</v>
      </c>
      <c r="H56" s="7" t="s">
        <v>220</v>
      </c>
      <c r="I56" s="7" t="s">
        <v>38</v>
      </c>
      <c r="J56" s="7">
        <v>8063174</v>
      </c>
      <c r="K56" s="7"/>
    </row>
    <row r="57" spans="1:11" ht="22.5" customHeight="1">
      <c r="A57" s="7">
        <v>12</v>
      </c>
      <c r="B57" s="7">
        <v>5</v>
      </c>
      <c r="C57" s="7" t="s">
        <v>183</v>
      </c>
      <c r="D57" s="7" t="s">
        <v>112</v>
      </c>
      <c r="E57" s="7" t="s">
        <v>107</v>
      </c>
      <c r="F57" s="10" t="s">
        <v>39</v>
      </c>
      <c r="G57" s="7" t="s">
        <v>152</v>
      </c>
      <c r="H57" s="7"/>
      <c r="I57" s="7" t="s">
        <v>45</v>
      </c>
      <c r="J57" s="7">
        <v>4980287</v>
      </c>
      <c r="K57" s="7"/>
    </row>
    <row r="58" spans="1:11" ht="22.5" customHeight="1">
      <c r="A58" s="7">
        <v>13</v>
      </c>
      <c r="B58" s="7">
        <v>5</v>
      </c>
      <c r="C58" s="7" t="s">
        <v>184</v>
      </c>
      <c r="D58" s="7" t="s">
        <v>110</v>
      </c>
      <c r="E58" s="7" t="s">
        <v>105</v>
      </c>
      <c r="F58" s="10" t="s">
        <v>39</v>
      </c>
      <c r="G58" s="7" t="s">
        <v>151</v>
      </c>
      <c r="H58" s="7" t="s">
        <v>210</v>
      </c>
      <c r="I58" s="7" t="s">
        <v>49</v>
      </c>
      <c r="J58" s="7">
        <v>516832</v>
      </c>
      <c r="K58" s="7"/>
    </row>
    <row r="59" spans="1:11" ht="22.5" customHeight="1">
      <c r="A59" s="7">
        <v>14</v>
      </c>
      <c r="B59" s="7">
        <v>5</v>
      </c>
      <c r="C59" s="7" t="s">
        <v>185</v>
      </c>
      <c r="D59" s="7" t="s">
        <v>107</v>
      </c>
      <c r="E59" s="7" t="s">
        <v>111</v>
      </c>
      <c r="F59" s="10" t="s">
        <v>39</v>
      </c>
      <c r="G59" s="7" t="s">
        <v>153</v>
      </c>
      <c r="H59" s="7" t="s">
        <v>218</v>
      </c>
      <c r="I59" s="7" t="s">
        <v>40</v>
      </c>
      <c r="J59" s="7">
        <v>4048706</v>
      </c>
      <c r="K59" s="7"/>
    </row>
    <row r="60" spans="1:11" ht="22.5" customHeight="1">
      <c r="A60" s="7">
        <v>15</v>
      </c>
      <c r="B60" s="7">
        <v>5</v>
      </c>
      <c r="C60" s="7" t="s">
        <v>186</v>
      </c>
      <c r="D60" s="7" t="s">
        <v>106</v>
      </c>
      <c r="E60" s="7" t="s">
        <v>107</v>
      </c>
      <c r="F60" s="10" t="s">
        <v>39</v>
      </c>
      <c r="G60" s="7" t="s">
        <v>154</v>
      </c>
      <c r="H60" s="7" t="s">
        <v>218</v>
      </c>
      <c r="I60" s="7" t="s">
        <v>44</v>
      </c>
      <c r="J60" s="7">
        <v>7833736</v>
      </c>
      <c r="K60" s="7"/>
    </row>
    <row r="61" spans="1:11" ht="22.5" customHeight="1">
      <c r="A61" s="7">
        <v>16</v>
      </c>
      <c r="B61" s="7">
        <v>5</v>
      </c>
      <c r="C61" s="7" t="s">
        <v>145</v>
      </c>
      <c r="D61" s="7" t="s">
        <v>111</v>
      </c>
      <c r="E61" s="7" t="s">
        <v>113</v>
      </c>
      <c r="F61" s="10" t="s">
        <v>39</v>
      </c>
      <c r="G61" s="7" t="s">
        <v>155</v>
      </c>
      <c r="H61" s="7" t="s">
        <v>210</v>
      </c>
      <c r="I61" s="7" t="s">
        <v>45</v>
      </c>
      <c r="J61" s="7">
        <v>2710436</v>
      </c>
      <c r="K61" s="7"/>
    </row>
    <row r="62" spans="1:11" ht="22.5" customHeight="1">
      <c r="A62" s="16">
        <v>17</v>
      </c>
      <c r="B62" s="16">
        <v>5</v>
      </c>
      <c r="C62" s="16" t="s">
        <v>162</v>
      </c>
      <c r="D62" s="16" t="s">
        <v>107</v>
      </c>
      <c r="E62" s="16" t="s">
        <v>112</v>
      </c>
      <c r="F62" s="16" t="s">
        <v>23</v>
      </c>
      <c r="G62" s="7" t="s">
        <v>152</v>
      </c>
      <c r="H62" s="16" t="s">
        <v>246</v>
      </c>
      <c r="I62" s="16"/>
      <c r="J62" s="16">
        <v>4233843</v>
      </c>
      <c r="K62" s="7"/>
    </row>
    <row r="63" spans="1:11" ht="22.5" customHeight="1">
      <c r="A63" s="2">
        <v>1</v>
      </c>
      <c r="B63" s="2">
        <v>6</v>
      </c>
      <c r="C63" s="2" t="s">
        <v>187</v>
      </c>
      <c r="D63" s="2" t="s">
        <v>105</v>
      </c>
      <c r="E63" s="2" t="s">
        <v>113</v>
      </c>
      <c r="F63" s="3" t="s">
        <v>52</v>
      </c>
      <c r="G63" s="7" t="s">
        <v>151</v>
      </c>
      <c r="H63" s="2" t="s">
        <v>218</v>
      </c>
      <c r="I63" s="2" t="s">
        <v>13</v>
      </c>
      <c r="J63" s="2">
        <v>9657743</v>
      </c>
      <c r="K63" s="7"/>
    </row>
    <row r="64" spans="1:11" ht="22.5" customHeight="1">
      <c r="A64" s="2">
        <v>2</v>
      </c>
      <c r="B64" s="2">
        <v>6</v>
      </c>
      <c r="C64" s="2" t="s">
        <v>184</v>
      </c>
      <c r="D64" s="2" t="s">
        <v>107</v>
      </c>
      <c r="E64" s="2"/>
      <c r="F64" s="11" t="s">
        <v>25</v>
      </c>
      <c r="G64" s="7" t="s">
        <v>153</v>
      </c>
      <c r="H64" s="2" t="s">
        <v>212</v>
      </c>
      <c r="I64" s="2" t="s">
        <v>17</v>
      </c>
      <c r="J64" s="2">
        <v>7484994</v>
      </c>
      <c r="K64" s="7"/>
    </row>
    <row r="65" spans="1:11" ht="22.5" customHeight="1">
      <c r="A65" s="2">
        <v>3</v>
      </c>
      <c r="B65" s="2">
        <v>6</v>
      </c>
      <c r="C65" s="2" t="s">
        <v>149</v>
      </c>
      <c r="D65" s="2" t="s">
        <v>111</v>
      </c>
      <c r="E65" s="2" t="s">
        <v>104</v>
      </c>
      <c r="F65" s="3" t="s">
        <v>52</v>
      </c>
      <c r="G65" s="7" t="s">
        <v>154</v>
      </c>
      <c r="H65" s="2" t="s">
        <v>224</v>
      </c>
      <c r="I65" s="2" t="s">
        <v>30</v>
      </c>
      <c r="J65" s="2">
        <v>607336</v>
      </c>
      <c r="K65" s="7"/>
    </row>
    <row r="66" spans="1:11" ht="22.5" customHeight="1">
      <c r="A66" s="2">
        <v>4</v>
      </c>
      <c r="B66" s="2">
        <v>6</v>
      </c>
      <c r="C66" s="2" t="s">
        <v>188</v>
      </c>
      <c r="D66" s="2" t="s">
        <v>105</v>
      </c>
      <c r="E66" s="2" t="s">
        <v>107</v>
      </c>
      <c r="F66" s="11" t="s">
        <v>25</v>
      </c>
      <c r="G66" s="7" t="s">
        <v>155</v>
      </c>
      <c r="H66" s="2" t="s">
        <v>222</v>
      </c>
      <c r="I66" s="2" t="s">
        <v>17</v>
      </c>
      <c r="J66" s="5">
        <v>7308548</v>
      </c>
      <c r="K66" s="7"/>
    </row>
    <row r="67" spans="1:11" ht="22.5" customHeight="1">
      <c r="A67" s="2">
        <v>5</v>
      </c>
      <c r="B67" s="2">
        <v>6</v>
      </c>
      <c r="C67" s="2" t="s">
        <v>189</v>
      </c>
      <c r="D67" s="2" t="s">
        <v>113</v>
      </c>
      <c r="E67" s="2" t="s">
        <v>106</v>
      </c>
      <c r="F67" s="11" t="s">
        <v>25</v>
      </c>
      <c r="G67" s="7" t="s">
        <v>152</v>
      </c>
      <c r="H67" s="2" t="s">
        <v>271</v>
      </c>
      <c r="I67" s="2" t="s">
        <v>51</v>
      </c>
      <c r="J67" s="2">
        <v>2955815</v>
      </c>
      <c r="K67" s="53"/>
    </row>
    <row r="68" spans="1:11" ht="22.5" customHeight="1">
      <c r="A68" s="2">
        <v>6</v>
      </c>
      <c r="B68" s="2">
        <v>6</v>
      </c>
      <c r="C68" s="2" t="s">
        <v>175</v>
      </c>
      <c r="D68" s="33" t="s">
        <v>113</v>
      </c>
      <c r="E68" s="33" t="s">
        <v>105</v>
      </c>
      <c r="F68" s="11" t="s">
        <v>25</v>
      </c>
      <c r="G68" s="7" t="s">
        <v>151</v>
      </c>
      <c r="H68" s="33" t="s">
        <v>210</v>
      </c>
      <c r="I68" s="33" t="s">
        <v>38</v>
      </c>
      <c r="J68" s="33">
        <v>2643746</v>
      </c>
      <c r="K68" s="53"/>
    </row>
    <row r="69" spans="1:11" ht="22.5" customHeight="1">
      <c r="A69" s="2">
        <v>7</v>
      </c>
      <c r="B69" s="2">
        <v>7</v>
      </c>
      <c r="C69" s="2" t="s">
        <v>190</v>
      </c>
      <c r="D69" s="2" t="s">
        <v>107</v>
      </c>
      <c r="E69" s="2" t="s">
        <v>105</v>
      </c>
      <c r="F69" s="3" t="s">
        <v>12</v>
      </c>
      <c r="G69" s="7" t="s">
        <v>153</v>
      </c>
      <c r="H69" s="2" t="s">
        <v>206</v>
      </c>
      <c r="I69" s="2" t="s">
        <v>45</v>
      </c>
      <c r="J69" s="2">
        <v>4530815</v>
      </c>
      <c r="K69" s="7"/>
    </row>
    <row r="70" spans="1:11" ht="22.5" customHeight="1">
      <c r="A70" s="2">
        <v>8</v>
      </c>
      <c r="B70" s="2">
        <v>7</v>
      </c>
      <c r="C70" s="2" t="s">
        <v>178</v>
      </c>
      <c r="D70" s="2"/>
      <c r="E70" s="2" t="s">
        <v>107</v>
      </c>
      <c r="F70" s="11" t="s">
        <v>25</v>
      </c>
      <c r="G70" s="7" t="s">
        <v>154</v>
      </c>
      <c r="H70" s="2" t="s">
        <v>210</v>
      </c>
      <c r="I70" s="2" t="s">
        <v>17</v>
      </c>
      <c r="J70" s="2">
        <v>4829167</v>
      </c>
      <c r="K70" s="7"/>
    </row>
    <row r="71" spans="1:11" ht="22.5" customHeight="1">
      <c r="A71" s="2">
        <v>9</v>
      </c>
      <c r="B71" s="2">
        <v>7</v>
      </c>
      <c r="C71" s="2" t="s">
        <v>179</v>
      </c>
      <c r="D71" s="2" t="s">
        <v>113</v>
      </c>
      <c r="E71" s="2" t="s">
        <v>111</v>
      </c>
      <c r="F71" s="4" t="s">
        <v>34</v>
      </c>
      <c r="G71" s="7" t="s">
        <v>155</v>
      </c>
      <c r="H71" s="2" t="s">
        <v>267</v>
      </c>
      <c r="I71" s="2">
        <v>18290</v>
      </c>
      <c r="J71" s="2">
        <v>1614456</v>
      </c>
      <c r="K71" s="7"/>
    </row>
    <row r="72" spans="1:11" ht="22.5" customHeight="1">
      <c r="A72" s="2">
        <v>10</v>
      </c>
      <c r="B72" s="2">
        <v>7</v>
      </c>
      <c r="C72" s="2" t="s">
        <v>160</v>
      </c>
      <c r="D72" s="2" t="s">
        <v>107</v>
      </c>
      <c r="E72" s="2" t="s">
        <v>113</v>
      </c>
      <c r="F72" s="11" t="s">
        <v>25</v>
      </c>
      <c r="G72" s="7" t="s">
        <v>152</v>
      </c>
      <c r="H72" s="2" t="s">
        <v>242</v>
      </c>
      <c r="I72" s="2" t="s">
        <v>17</v>
      </c>
      <c r="J72" s="5">
        <v>7144080</v>
      </c>
      <c r="K72" s="7"/>
    </row>
    <row r="73" spans="1:11" ht="22.5" customHeight="1">
      <c r="A73" s="2">
        <v>11</v>
      </c>
      <c r="B73" s="2">
        <v>7</v>
      </c>
      <c r="C73" s="2" t="s">
        <v>191</v>
      </c>
      <c r="D73" s="2" t="s">
        <v>107</v>
      </c>
      <c r="E73" s="2" t="s">
        <v>105</v>
      </c>
      <c r="F73" s="3" t="s">
        <v>12</v>
      </c>
      <c r="G73" s="7" t="s">
        <v>151</v>
      </c>
      <c r="H73" s="2" t="s">
        <v>273</v>
      </c>
      <c r="I73" s="2" t="s">
        <v>26</v>
      </c>
      <c r="J73" s="2">
        <v>5187333</v>
      </c>
      <c r="K73" s="7"/>
    </row>
    <row r="74" spans="1:11" ht="24.75" customHeight="1">
      <c r="A74" s="16">
        <v>12</v>
      </c>
      <c r="B74" s="16">
        <v>6</v>
      </c>
      <c r="C74" s="19" t="s">
        <v>192</v>
      </c>
      <c r="D74" s="19" t="s">
        <v>106</v>
      </c>
      <c r="E74" s="19"/>
      <c r="F74" s="19" t="s">
        <v>19</v>
      </c>
      <c r="G74" s="7" t="s">
        <v>153</v>
      </c>
      <c r="H74" s="19" t="s">
        <v>220</v>
      </c>
      <c r="I74" s="19" t="s">
        <v>100</v>
      </c>
      <c r="J74" s="19">
        <v>6377663</v>
      </c>
      <c r="K74" s="7"/>
    </row>
    <row r="75" spans="1:11" ht="16.5" customHeight="1"/>
    <row r="76" spans="1:11" ht="16.5" customHeight="1"/>
    <row r="77" spans="1:11" ht="16.5" customHeight="1"/>
    <row r="78" spans="1:11" ht="16.5" customHeight="1"/>
    <row r="79" spans="1:11" ht="16.5" customHeight="1"/>
    <row r="80" spans="1:11" ht="16.5" customHeight="1"/>
    <row r="81" ht="16.5" customHeight="1"/>
    <row r="82" ht="16.5" customHeight="1"/>
    <row r="83" ht="16.5" customHeight="1"/>
    <row r="84" ht="16.5" customHeight="1"/>
    <row r="85" ht="16.5" customHeight="1"/>
    <row r="86" ht="16.5" customHeight="1"/>
    <row r="87" ht="16.5" customHeight="1"/>
    <row r="88" ht="16.5" customHeight="1"/>
    <row r="89" ht="16.5" customHeight="1"/>
    <row r="90" ht="16.5" customHeight="1"/>
    <row r="91" ht="16.5" customHeight="1"/>
    <row r="92" ht="16.5" customHeight="1"/>
    <row r="93" ht="16.5" customHeight="1"/>
    <row r="94" ht="16.5" customHeight="1"/>
    <row r="95" ht="16.5" customHeight="1"/>
    <row r="96" ht="16.5" customHeight="1"/>
    <row r="97" ht="16.5" customHeight="1"/>
    <row r="98" ht="16.5" customHeight="1"/>
    <row r="99" ht="16.5" customHeight="1"/>
    <row r="100" ht="16.5" customHeight="1"/>
    <row r="101" ht="16.5" customHeight="1"/>
    <row r="102" ht="16.5" customHeight="1"/>
    <row r="103" ht="16.5" customHeight="1"/>
  </sheetData>
  <phoneticPr fontId="2"/>
  <pageMargins left="0.7" right="0.7" top="0.75" bottom="0.75" header="0.3" footer="0.3"/>
  <pageSetup paperSize="9" scale="60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  <pageSetUpPr fitToPage="1"/>
  </sheetPr>
  <dimension ref="A1:L81"/>
  <sheetViews>
    <sheetView view="pageBreakPreview" zoomScale="90" zoomScaleNormal="90" zoomScaleSheetLayoutView="90" workbookViewId="0">
      <pane ySplit="1" topLeftCell="A70" activePane="bottomLeft" state="frozen"/>
      <selection pane="bottomLeft" activeCell="L4" sqref="L4"/>
    </sheetView>
  </sheetViews>
  <sheetFormatPr baseColWidth="10" defaultColWidth="9" defaultRowHeight="21.75" customHeight="1"/>
  <cols>
    <col min="1" max="1" width="3.6640625" style="14" customWidth="1"/>
    <col min="2" max="2" width="5" style="14" customWidth="1"/>
    <col min="3" max="3" width="13.83203125" style="14" customWidth="1"/>
    <col min="4" max="5" width="7.6640625" style="14" customWidth="1"/>
    <col min="6" max="10" width="12.1640625" style="14" customWidth="1"/>
    <col min="11" max="11" width="26.5" style="14" customWidth="1"/>
    <col min="12" max="12" width="12.1640625" style="14" customWidth="1"/>
    <col min="13" max="13" width="9.33203125" style="14" customWidth="1"/>
    <col min="14" max="14" width="5.1640625" style="14" customWidth="1"/>
    <col min="15" max="18" width="9" style="14"/>
    <col min="19" max="19" width="13" style="14" customWidth="1"/>
    <col min="20" max="16384" width="9" style="14"/>
  </cols>
  <sheetData>
    <row r="1" spans="1:11" ht="21.75" customHeight="1" thickBot="1">
      <c r="A1" s="21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559</v>
      </c>
      <c r="H1" s="22" t="s">
        <v>6</v>
      </c>
      <c r="I1" s="22" t="s">
        <v>7</v>
      </c>
      <c r="J1" s="23" t="s">
        <v>8</v>
      </c>
      <c r="K1" s="50" t="s">
        <v>554</v>
      </c>
    </row>
    <row r="2" spans="1:11" ht="21.75" customHeight="1">
      <c r="A2" s="2">
        <v>1</v>
      </c>
      <c r="B2" s="2">
        <v>1</v>
      </c>
      <c r="C2" s="2" t="s">
        <v>139</v>
      </c>
      <c r="D2" s="2" t="s">
        <v>106</v>
      </c>
      <c r="E2" s="2" t="s">
        <v>107</v>
      </c>
      <c r="F2" s="9" t="s">
        <v>11</v>
      </c>
      <c r="G2" s="7" t="s">
        <v>144</v>
      </c>
      <c r="H2" s="2" t="s">
        <v>198</v>
      </c>
      <c r="I2" s="2">
        <v>18240</v>
      </c>
      <c r="J2" s="43">
        <v>3083570</v>
      </c>
      <c r="K2" s="51"/>
    </row>
    <row r="3" spans="1:11" ht="21.75" customHeight="1">
      <c r="A3" s="7">
        <v>2</v>
      </c>
      <c r="B3" s="2">
        <v>1</v>
      </c>
      <c r="C3" s="7" t="s">
        <v>140</v>
      </c>
      <c r="D3" s="7" t="s">
        <v>108</v>
      </c>
      <c r="E3" s="7"/>
      <c r="F3" s="9" t="s">
        <v>11</v>
      </c>
      <c r="G3" s="7" t="s">
        <v>145</v>
      </c>
      <c r="H3" s="7" t="s">
        <v>200</v>
      </c>
      <c r="I3" s="7">
        <v>18200</v>
      </c>
      <c r="J3" s="44">
        <v>9987800</v>
      </c>
      <c r="K3" s="51"/>
    </row>
    <row r="4" spans="1:11" ht="21.75" customHeight="1">
      <c r="A4" s="31">
        <v>3</v>
      </c>
      <c r="B4" s="32">
        <v>1</v>
      </c>
      <c r="C4" s="32" t="s">
        <v>141</v>
      </c>
      <c r="D4" s="32" t="s">
        <v>113</v>
      </c>
      <c r="E4" s="32" t="s">
        <v>105</v>
      </c>
      <c r="F4" s="32" t="s">
        <v>23</v>
      </c>
      <c r="G4" s="7" t="s">
        <v>146</v>
      </c>
      <c r="H4" s="32"/>
      <c r="I4" s="32"/>
      <c r="J4" s="45"/>
      <c r="K4" s="51"/>
    </row>
    <row r="5" spans="1:11" ht="21.75" customHeight="1">
      <c r="A5" s="31">
        <v>4</v>
      </c>
      <c r="B5" s="32">
        <v>1</v>
      </c>
      <c r="C5" s="31" t="s">
        <v>142</v>
      </c>
      <c r="D5" s="31" t="s">
        <v>111</v>
      </c>
      <c r="E5" s="31" t="s">
        <v>106</v>
      </c>
      <c r="F5" s="31" t="s">
        <v>23</v>
      </c>
      <c r="G5" s="7" t="s">
        <v>147</v>
      </c>
      <c r="H5" s="31"/>
      <c r="I5" s="31"/>
      <c r="J5" s="46"/>
      <c r="K5" s="51"/>
    </row>
    <row r="6" spans="1:11" ht="21.75" customHeight="1">
      <c r="A6" s="7">
        <v>5</v>
      </c>
      <c r="B6" s="2">
        <v>1</v>
      </c>
      <c r="C6" s="7" t="s">
        <v>143</v>
      </c>
      <c r="D6" s="7" t="s">
        <v>106</v>
      </c>
      <c r="E6" s="7" t="s">
        <v>105</v>
      </c>
      <c r="F6" s="12" t="s">
        <v>52</v>
      </c>
      <c r="G6" s="7" t="s">
        <v>155</v>
      </c>
      <c r="H6" s="7" t="s">
        <v>206</v>
      </c>
      <c r="I6" s="7" t="s">
        <v>35</v>
      </c>
      <c r="J6" s="47">
        <v>606062</v>
      </c>
      <c r="K6" s="51"/>
    </row>
    <row r="7" spans="1:11" ht="21.75" customHeight="1">
      <c r="A7" s="7">
        <v>6</v>
      </c>
      <c r="B7" s="2">
        <v>1</v>
      </c>
      <c r="C7" s="7" t="s">
        <v>144</v>
      </c>
      <c r="D7" s="7" t="s">
        <v>107</v>
      </c>
      <c r="E7" s="7" t="s">
        <v>106</v>
      </c>
      <c r="F7" s="12" t="s">
        <v>52</v>
      </c>
      <c r="G7" s="7" t="s">
        <v>156</v>
      </c>
      <c r="H7" s="7" t="s">
        <v>208</v>
      </c>
      <c r="I7" s="7" t="s">
        <v>36</v>
      </c>
      <c r="J7" s="47">
        <v>4539680</v>
      </c>
      <c r="K7" s="51"/>
    </row>
    <row r="8" spans="1:11" ht="21.75" customHeight="1">
      <c r="A8" s="7">
        <v>7</v>
      </c>
      <c r="B8" s="2">
        <v>1</v>
      </c>
      <c r="C8" s="7" t="s">
        <v>145</v>
      </c>
      <c r="D8" s="7" t="s">
        <v>111</v>
      </c>
      <c r="E8" s="7" t="s">
        <v>108</v>
      </c>
      <c r="F8" s="12" t="s">
        <v>52</v>
      </c>
      <c r="G8" s="7" t="s">
        <v>157</v>
      </c>
      <c r="H8" s="7" t="s">
        <v>210</v>
      </c>
      <c r="I8" s="7" t="s">
        <v>14</v>
      </c>
      <c r="J8" s="47">
        <v>6646828</v>
      </c>
      <c r="K8" s="51"/>
    </row>
    <row r="9" spans="1:11" ht="21.75" customHeight="1">
      <c r="A9" s="7">
        <v>8</v>
      </c>
      <c r="B9" s="2">
        <v>1</v>
      </c>
      <c r="C9" s="7" t="s">
        <v>146</v>
      </c>
      <c r="D9" s="7" t="s">
        <v>104</v>
      </c>
      <c r="E9" s="7" t="s">
        <v>108</v>
      </c>
      <c r="F9" s="8" t="s">
        <v>25</v>
      </c>
      <c r="G9" s="7" t="s">
        <v>144</v>
      </c>
      <c r="H9" s="7" t="s">
        <v>214</v>
      </c>
      <c r="I9" s="7" t="s">
        <v>17</v>
      </c>
      <c r="J9" s="47">
        <v>3440273</v>
      </c>
      <c r="K9" s="51"/>
    </row>
    <row r="10" spans="1:11" ht="21.75" customHeight="1">
      <c r="A10" s="7">
        <v>9</v>
      </c>
      <c r="B10" s="2">
        <v>1</v>
      </c>
      <c r="C10" s="7" t="s">
        <v>147</v>
      </c>
      <c r="D10" s="7" t="s">
        <v>107</v>
      </c>
      <c r="E10" s="7" t="s">
        <v>111</v>
      </c>
      <c r="F10" s="9" t="s">
        <v>11</v>
      </c>
      <c r="G10" s="7" t="s">
        <v>145</v>
      </c>
      <c r="H10" s="7" t="s">
        <v>218</v>
      </c>
      <c r="I10" s="7">
        <v>18280</v>
      </c>
      <c r="J10" s="44">
        <v>8514178</v>
      </c>
      <c r="K10" s="51"/>
    </row>
    <row r="11" spans="1:11" ht="21.75" customHeight="1">
      <c r="A11" s="7">
        <v>10</v>
      </c>
      <c r="B11" s="2">
        <v>1</v>
      </c>
      <c r="C11" s="7" t="s">
        <v>148</v>
      </c>
      <c r="D11" s="7" t="s">
        <v>107</v>
      </c>
      <c r="E11" s="7"/>
      <c r="F11" s="9" t="s">
        <v>11</v>
      </c>
      <c r="G11" s="7" t="s">
        <v>146</v>
      </c>
      <c r="H11" s="7" t="s">
        <v>222</v>
      </c>
      <c r="I11" s="7">
        <v>18240</v>
      </c>
      <c r="J11" s="47">
        <v>5076752</v>
      </c>
      <c r="K11" s="51"/>
    </row>
    <row r="12" spans="1:11" ht="21.75" customHeight="1">
      <c r="A12" s="7">
        <v>11</v>
      </c>
      <c r="B12" s="2">
        <v>1</v>
      </c>
      <c r="C12" s="7" t="s">
        <v>149</v>
      </c>
      <c r="D12" s="7" t="s">
        <v>106</v>
      </c>
      <c r="E12" s="7" t="s">
        <v>109</v>
      </c>
      <c r="F12" s="12" t="s">
        <v>52</v>
      </c>
      <c r="G12" s="7" t="s">
        <v>147</v>
      </c>
      <c r="H12" s="7" t="s">
        <v>224</v>
      </c>
      <c r="I12" s="7" t="s">
        <v>36</v>
      </c>
      <c r="J12" s="47">
        <v>7121547</v>
      </c>
      <c r="K12" s="51"/>
    </row>
    <row r="13" spans="1:11" ht="21.75" customHeight="1">
      <c r="A13" s="7">
        <v>12</v>
      </c>
      <c r="B13" s="2">
        <v>1</v>
      </c>
      <c r="C13" s="7" t="s">
        <v>150</v>
      </c>
      <c r="D13" s="7" t="s">
        <v>105</v>
      </c>
      <c r="E13" s="7" t="s">
        <v>107</v>
      </c>
      <c r="F13" s="8" t="s">
        <v>25</v>
      </c>
      <c r="G13" s="7" t="s">
        <v>155</v>
      </c>
      <c r="H13" s="7" t="s">
        <v>206</v>
      </c>
      <c r="I13" s="7" t="s">
        <v>17</v>
      </c>
      <c r="J13" s="47">
        <v>3187436</v>
      </c>
      <c r="K13" s="51"/>
    </row>
    <row r="14" spans="1:11" ht="21.75" customHeight="1">
      <c r="A14" s="7">
        <v>13</v>
      </c>
      <c r="B14" s="2">
        <v>1</v>
      </c>
      <c r="C14" s="7" t="s">
        <v>151</v>
      </c>
      <c r="D14" s="7" t="s">
        <v>104</v>
      </c>
      <c r="E14" s="7" t="s">
        <v>104</v>
      </c>
      <c r="F14" s="8" t="s">
        <v>25</v>
      </c>
      <c r="G14" s="7" t="s">
        <v>156</v>
      </c>
      <c r="H14" s="7" t="s">
        <v>226</v>
      </c>
      <c r="I14" s="7" t="s">
        <v>17</v>
      </c>
      <c r="J14" s="47">
        <v>1334384</v>
      </c>
      <c r="K14" s="51"/>
    </row>
    <row r="15" spans="1:11" ht="21.75" customHeight="1">
      <c r="A15" s="7">
        <v>14</v>
      </c>
      <c r="B15" s="2">
        <v>1</v>
      </c>
      <c r="C15" s="7" t="s">
        <v>152</v>
      </c>
      <c r="D15" s="7" t="s">
        <v>106</v>
      </c>
      <c r="E15" s="7" t="s">
        <v>113</v>
      </c>
      <c r="F15" s="8" t="s">
        <v>25</v>
      </c>
      <c r="G15" s="7" t="s">
        <v>157</v>
      </c>
      <c r="H15" s="7" t="s">
        <v>228</v>
      </c>
      <c r="I15" s="7" t="s">
        <v>26</v>
      </c>
      <c r="J15" s="47">
        <v>333096</v>
      </c>
      <c r="K15" s="51"/>
    </row>
    <row r="16" spans="1:11" ht="21.75" customHeight="1">
      <c r="A16" s="7">
        <v>15</v>
      </c>
      <c r="B16" s="2">
        <v>1</v>
      </c>
      <c r="C16" s="7" t="s">
        <v>151</v>
      </c>
      <c r="D16" s="7" t="s">
        <v>107</v>
      </c>
      <c r="E16" s="7" t="s">
        <v>104</v>
      </c>
      <c r="F16" s="12" t="s">
        <v>52</v>
      </c>
      <c r="G16" s="7" t="s">
        <v>144</v>
      </c>
      <c r="H16" s="7" t="s">
        <v>230</v>
      </c>
      <c r="I16" s="7" t="s">
        <v>27</v>
      </c>
      <c r="J16" s="47">
        <v>1283253</v>
      </c>
      <c r="K16" s="51"/>
    </row>
    <row r="17" spans="1:12" ht="21.75" customHeight="1">
      <c r="A17" s="31">
        <v>16</v>
      </c>
      <c r="B17" s="32">
        <v>1</v>
      </c>
      <c r="C17" s="31" t="s">
        <v>153</v>
      </c>
      <c r="D17" s="31" t="s">
        <v>104</v>
      </c>
      <c r="E17" s="31" t="s">
        <v>108</v>
      </c>
      <c r="F17" s="31" t="s">
        <v>23</v>
      </c>
      <c r="G17" s="7" t="s">
        <v>145</v>
      </c>
      <c r="H17" s="31"/>
      <c r="I17" s="31"/>
      <c r="J17" s="46"/>
      <c r="K17" s="51"/>
    </row>
    <row r="18" spans="1:12" ht="21.75" customHeight="1">
      <c r="A18" s="7">
        <v>17</v>
      </c>
      <c r="B18" s="2">
        <v>1</v>
      </c>
      <c r="C18" s="7" t="s">
        <v>154</v>
      </c>
      <c r="D18" s="7" t="s">
        <v>109</v>
      </c>
      <c r="E18" s="7" t="s">
        <v>104</v>
      </c>
      <c r="F18" s="8" t="s">
        <v>25</v>
      </c>
      <c r="G18" s="7" t="s">
        <v>146</v>
      </c>
      <c r="H18" s="7" t="s">
        <v>232</v>
      </c>
      <c r="I18" s="7" t="s">
        <v>17</v>
      </c>
      <c r="J18" s="47">
        <v>107033</v>
      </c>
      <c r="K18" s="51"/>
    </row>
    <row r="19" spans="1:12" ht="21.75" customHeight="1">
      <c r="A19" s="7">
        <v>18</v>
      </c>
      <c r="B19" s="2">
        <v>1</v>
      </c>
      <c r="C19" s="7" t="s">
        <v>155</v>
      </c>
      <c r="D19" s="7" t="s">
        <v>108</v>
      </c>
      <c r="E19" s="7" t="s">
        <v>111</v>
      </c>
      <c r="F19" s="8" t="s">
        <v>25</v>
      </c>
      <c r="G19" s="7" t="s">
        <v>147</v>
      </c>
      <c r="H19" s="7" t="s">
        <v>210</v>
      </c>
      <c r="I19" s="7" t="s">
        <v>17</v>
      </c>
      <c r="J19" s="47">
        <v>5046223</v>
      </c>
      <c r="K19" s="51"/>
    </row>
    <row r="20" spans="1:12" ht="21.75" customHeight="1">
      <c r="A20" s="7">
        <v>19</v>
      </c>
      <c r="B20" s="2">
        <v>1</v>
      </c>
      <c r="C20" s="7" t="s">
        <v>156</v>
      </c>
      <c r="D20" s="7" t="s">
        <v>106</v>
      </c>
      <c r="E20" s="7" t="s">
        <v>107</v>
      </c>
      <c r="F20" s="8" t="s">
        <v>25</v>
      </c>
      <c r="G20" s="7" t="s">
        <v>155</v>
      </c>
      <c r="H20" s="7" t="s">
        <v>234</v>
      </c>
      <c r="I20" s="7" t="s">
        <v>17</v>
      </c>
      <c r="J20" s="47">
        <v>190326</v>
      </c>
      <c r="K20" s="51"/>
    </row>
    <row r="21" spans="1:12" ht="21.75" customHeight="1">
      <c r="A21" s="7">
        <v>20</v>
      </c>
      <c r="B21" s="2">
        <v>1</v>
      </c>
      <c r="C21" s="7" t="s">
        <v>157</v>
      </c>
      <c r="D21" s="7" t="s">
        <v>105</v>
      </c>
      <c r="E21" s="7" t="s">
        <v>107</v>
      </c>
      <c r="F21" s="9" t="s">
        <v>11</v>
      </c>
      <c r="G21" s="7" t="s">
        <v>156</v>
      </c>
      <c r="H21" s="7" t="s">
        <v>236</v>
      </c>
      <c r="I21" s="7">
        <v>18250</v>
      </c>
      <c r="J21" s="47">
        <v>8017649</v>
      </c>
      <c r="K21" s="51"/>
    </row>
    <row r="22" spans="1:12" ht="21.75" customHeight="1">
      <c r="A22" s="7">
        <v>21</v>
      </c>
      <c r="B22" s="2">
        <v>1</v>
      </c>
      <c r="C22" s="7" t="s">
        <v>146</v>
      </c>
      <c r="D22" s="7" t="s">
        <v>110</v>
      </c>
      <c r="E22" s="7" t="s">
        <v>107</v>
      </c>
      <c r="F22" s="8" t="s">
        <v>25</v>
      </c>
      <c r="G22" s="7" t="s">
        <v>157</v>
      </c>
      <c r="H22" s="7" t="s">
        <v>214</v>
      </c>
      <c r="I22" s="7" t="s">
        <v>17</v>
      </c>
      <c r="J22" s="47">
        <v>2896002</v>
      </c>
      <c r="K22" s="51"/>
    </row>
    <row r="23" spans="1:12" ht="21.75" customHeight="1">
      <c r="A23" s="7">
        <v>22</v>
      </c>
      <c r="B23" s="2">
        <v>1</v>
      </c>
      <c r="C23" s="33" t="s">
        <v>145</v>
      </c>
      <c r="D23" s="33" t="s">
        <v>110</v>
      </c>
      <c r="E23" s="33" t="s">
        <v>110</v>
      </c>
      <c r="F23" s="12" t="s">
        <v>52</v>
      </c>
      <c r="G23" s="7" t="s">
        <v>144</v>
      </c>
      <c r="H23" s="33" t="s">
        <v>238</v>
      </c>
      <c r="I23" s="33" t="s">
        <v>32</v>
      </c>
      <c r="J23" s="48">
        <v>4849774</v>
      </c>
      <c r="K23" s="51"/>
      <c r="L23" s="1"/>
    </row>
    <row r="24" spans="1:12" ht="21.75" customHeight="1">
      <c r="A24" s="7">
        <v>23</v>
      </c>
      <c r="B24" s="2">
        <v>1</v>
      </c>
      <c r="C24" s="7" t="s">
        <v>158</v>
      </c>
      <c r="D24" s="7" t="s">
        <v>110</v>
      </c>
      <c r="E24" s="7" t="s">
        <v>112</v>
      </c>
      <c r="F24" s="12" t="s">
        <v>52</v>
      </c>
      <c r="G24" s="7" t="s">
        <v>145</v>
      </c>
      <c r="H24" s="7" t="s">
        <v>240</v>
      </c>
      <c r="I24" s="7" t="s">
        <v>14</v>
      </c>
      <c r="J24" s="47">
        <v>2283968</v>
      </c>
      <c r="K24" s="51"/>
    </row>
    <row r="25" spans="1:12" ht="21.75" customHeight="1">
      <c r="A25" s="7">
        <v>24</v>
      </c>
      <c r="B25" s="2">
        <v>1</v>
      </c>
      <c r="C25" s="7" t="s">
        <v>159</v>
      </c>
      <c r="D25" s="7" t="s">
        <v>111</v>
      </c>
      <c r="E25" s="7" t="s">
        <v>104</v>
      </c>
      <c r="F25" s="12" t="s">
        <v>52</v>
      </c>
      <c r="G25" s="7" t="s">
        <v>146</v>
      </c>
      <c r="H25" s="7" t="s">
        <v>204</v>
      </c>
      <c r="I25" s="7" t="s">
        <v>13</v>
      </c>
      <c r="J25" s="47">
        <v>1357328</v>
      </c>
      <c r="K25" s="51"/>
    </row>
    <row r="26" spans="1:12" ht="21.75" customHeight="1">
      <c r="A26" s="25">
        <v>1</v>
      </c>
      <c r="B26" s="17">
        <v>2</v>
      </c>
      <c r="C26" s="7" t="s">
        <v>160</v>
      </c>
      <c r="D26" s="7" t="s">
        <v>107</v>
      </c>
      <c r="E26" s="7" t="s">
        <v>106</v>
      </c>
      <c r="F26" s="8" t="s">
        <v>25</v>
      </c>
      <c r="G26" s="7" t="s">
        <v>147</v>
      </c>
      <c r="H26" s="7" t="s">
        <v>242</v>
      </c>
      <c r="I26" s="7" t="s">
        <v>17</v>
      </c>
      <c r="J26" s="47">
        <v>1458784</v>
      </c>
      <c r="K26" s="51"/>
    </row>
    <row r="27" spans="1:12" ht="21.75" customHeight="1">
      <c r="A27" s="25">
        <v>2</v>
      </c>
      <c r="B27" s="17">
        <v>2</v>
      </c>
      <c r="C27" s="7" t="s">
        <v>161</v>
      </c>
      <c r="D27" s="7" t="s">
        <v>104</v>
      </c>
      <c r="E27" s="7" t="s">
        <v>111</v>
      </c>
      <c r="F27" s="12" t="s">
        <v>52</v>
      </c>
      <c r="G27" s="7" t="s">
        <v>155</v>
      </c>
      <c r="H27" s="7" t="s">
        <v>244</v>
      </c>
      <c r="I27" s="7" t="s">
        <v>13</v>
      </c>
      <c r="J27" s="47">
        <v>2907789</v>
      </c>
      <c r="K27" s="51"/>
    </row>
    <row r="28" spans="1:12" ht="21.75" customHeight="1">
      <c r="A28" s="25">
        <v>3</v>
      </c>
      <c r="B28" s="17">
        <v>2</v>
      </c>
      <c r="C28" s="7" t="s">
        <v>162</v>
      </c>
      <c r="D28" s="7" t="s">
        <v>107</v>
      </c>
      <c r="E28" s="7" t="s">
        <v>105</v>
      </c>
      <c r="F28" s="12" t="s">
        <v>52</v>
      </c>
      <c r="G28" s="7" t="s">
        <v>156</v>
      </c>
      <c r="H28" s="7" t="s">
        <v>246</v>
      </c>
      <c r="I28" s="7" t="s">
        <v>96</v>
      </c>
      <c r="J28" s="47">
        <v>2291439</v>
      </c>
      <c r="K28" s="51"/>
    </row>
    <row r="29" spans="1:12" ht="21.75" customHeight="1">
      <c r="A29" s="25">
        <v>4</v>
      </c>
      <c r="B29" s="17">
        <v>2</v>
      </c>
      <c r="C29" s="7" t="s">
        <v>163</v>
      </c>
      <c r="D29" s="7" t="s">
        <v>104</v>
      </c>
      <c r="E29" s="7" t="s">
        <v>112</v>
      </c>
      <c r="F29" s="8" t="s">
        <v>25</v>
      </c>
      <c r="G29" s="7" t="s">
        <v>157</v>
      </c>
      <c r="H29" s="7" t="s">
        <v>248</v>
      </c>
      <c r="I29" s="7" t="s">
        <v>17</v>
      </c>
      <c r="J29" s="47">
        <v>5605768</v>
      </c>
      <c r="K29" s="51"/>
    </row>
    <row r="30" spans="1:12" ht="21.75" customHeight="1">
      <c r="A30" s="25">
        <v>5</v>
      </c>
      <c r="B30" s="17">
        <v>2</v>
      </c>
      <c r="C30" s="7" t="s">
        <v>156</v>
      </c>
      <c r="D30" s="7" t="s">
        <v>113</v>
      </c>
      <c r="E30" s="7" t="s">
        <v>110</v>
      </c>
      <c r="F30" s="8" t="s">
        <v>25</v>
      </c>
      <c r="G30" s="7" t="s">
        <v>144</v>
      </c>
      <c r="H30" s="7" t="s">
        <v>250</v>
      </c>
      <c r="I30" s="7" t="s">
        <v>95</v>
      </c>
      <c r="J30" s="47">
        <v>1271078</v>
      </c>
      <c r="K30" s="51"/>
    </row>
    <row r="31" spans="1:12" ht="21.75" customHeight="1">
      <c r="A31" s="25">
        <v>6</v>
      </c>
      <c r="B31" s="17">
        <v>2</v>
      </c>
      <c r="C31" s="7" t="s">
        <v>164</v>
      </c>
      <c r="D31" s="7" t="s">
        <v>111</v>
      </c>
      <c r="E31" s="7" t="s">
        <v>104</v>
      </c>
      <c r="F31" s="8" t="s">
        <v>25</v>
      </c>
      <c r="G31" s="7" t="s">
        <v>145</v>
      </c>
      <c r="H31" s="7" t="s">
        <v>252</v>
      </c>
      <c r="I31" s="7" t="s">
        <v>17</v>
      </c>
      <c r="J31" s="47">
        <v>7076707</v>
      </c>
      <c r="K31" s="51"/>
    </row>
    <row r="32" spans="1:12" ht="21.75" customHeight="1">
      <c r="A32" s="25">
        <v>7</v>
      </c>
      <c r="B32" s="17">
        <v>2</v>
      </c>
      <c r="C32" s="7" t="s">
        <v>165</v>
      </c>
      <c r="D32" s="7" t="s">
        <v>110</v>
      </c>
      <c r="E32" s="7" t="s">
        <v>104</v>
      </c>
      <c r="F32" s="8" t="s">
        <v>25</v>
      </c>
      <c r="G32" s="7" t="s">
        <v>146</v>
      </c>
      <c r="H32" s="7" t="s">
        <v>220</v>
      </c>
      <c r="I32" s="7" t="s">
        <v>17</v>
      </c>
      <c r="J32" s="47">
        <v>2732259</v>
      </c>
      <c r="K32" s="51"/>
    </row>
    <row r="33" spans="1:11" ht="21.75" customHeight="1">
      <c r="A33" s="25">
        <v>8</v>
      </c>
      <c r="B33" s="17">
        <v>2</v>
      </c>
      <c r="C33" s="7" t="s">
        <v>166</v>
      </c>
      <c r="D33" s="7" t="s">
        <v>109</v>
      </c>
      <c r="E33" s="7" t="s">
        <v>108</v>
      </c>
      <c r="F33" s="12" t="s">
        <v>52</v>
      </c>
      <c r="G33" s="7" t="s">
        <v>147</v>
      </c>
      <c r="H33" s="7" t="s">
        <v>254</v>
      </c>
      <c r="I33" s="7" t="s">
        <v>13</v>
      </c>
      <c r="J33" s="47">
        <v>9600965</v>
      </c>
      <c r="K33" s="52"/>
    </row>
    <row r="34" spans="1:11" ht="21.75" customHeight="1">
      <c r="A34" s="25">
        <v>9</v>
      </c>
      <c r="B34" s="17">
        <v>2</v>
      </c>
      <c r="C34" s="7" t="s">
        <v>167</v>
      </c>
      <c r="D34" s="7" t="s">
        <v>104</v>
      </c>
      <c r="E34" s="7" t="s">
        <v>105</v>
      </c>
      <c r="F34" s="9" t="s">
        <v>11</v>
      </c>
      <c r="G34" s="7" t="s">
        <v>155</v>
      </c>
      <c r="H34" s="7" t="s">
        <v>216</v>
      </c>
      <c r="I34" s="7">
        <v>18290</v>
      </c>
      <c r="J34" s="47">
        <v>6070385</v>
      </c>
      <c r="K34" s="51"/>
    </row>
    <row r="35" spans="1:11" ht="21.75" customHeight="1">
      <c r="A35" s="25">
        <v>10</v>
      </c>
      <c r="B35" s="17">
        <v>2</v>
      </c>
      <c r="C35" s="7" t="s">
        <v>168</v>
      </c>
      <c r="D35" s="7" t="s">
        <v>107</v>
      </c>
      <c r="E35" s="7" t="s">
        <v>113</v>
      </c>
      <c r="F35" s="12" t="s">
        <v>52</v>
      </c>
      <c r="G35" s="7" t="s">
        <v>156</v>
      </c>
      <c r="H35" s="7" t="s">
        <v>216</v>
      </c>
      <c r="I35" s="7" t="s">
        <v>13</v>
      </c>
      <c r="J35" s="47">
        <v>928391</v>
      </c>
      <c r="K35" s="51"/>
    </row>
    <row r="36" spans="1:11" ht="21.75" customHeight="1">
      <c r="A36" s="25">
        <v>11</v>
      </c>
      <c r="B36" s="17">
        <v>2</v>
      </c>
      <c r="C36" s="7" t="s">
        <v>169</v>
      </c>
      <c r="D36" s="7" t="s">
        <v>107</v>
      </c>
      <c r="E36" s="7" t="s">
        <v>109</v>
      </c>
      <c r="F36" s="12" t="s">
        <v>52</v>
      </c>
      <c r="G36" s="7" t="s">
        <v>157</v>
      </c>
      <c r="H36" s="7" t="s">
        <v>222</v>
      </c>
      <c r="I36" s="7" t="s">
        <v>13</v>
      </c>
      <c r="J36" s="47">
        <v>7438910</v>
      </c>
      <c r="K36" s="51"/>
    </row>
    <row r="37" spans="1:11" ht="21.75" customHeight="1">
      <c r="A37" s="25">
        <v>12</v>
      </c>
      <c r="B37" s="17">
        <v>2</v>
      </c>
      <c r="C37" s="7" t="s">
        <v>170</v>
      </c>
      <c r="D37" s="7" t="s">
        <v>107</v>
      </c>
      <c r="E37" s="7" t="s">
        <v>104</v>
      </c>
      <c r="F37" s="12" t="s">
        <v>52</v>
      </c>
      <c r="G37" s="7" t="s">
        <v>144</v>
      </c>
      <c r="H37" s="7" t="s">
        <v>257</v>
      </c>
      <c r="I37" s="7" t="s">
        <v>13</v>
      </c>
      <c r="J37" s="47">
        <v>8392477</v>
      </c>
      <c r="K37" s="51"/>
    </row>
    <row r="38" spans="1:11" ht="18" customHeight="1">
      <c r="A38" s="25">
        <v>13</v>
      </c>
      <c r="B38" s="17">
        <v>2</v>
      </c>
      <c r="C38" s="7" t="s">
        <v>171</v>
      </c>
      <c r="D38" s="7" t="s">
        <v>106</v>
      </c>
      <c r="E38" s="7" t="s">
        <v>111</v>
      </c>
      <c r="F38" s="12" t="s">
        <v>52</v>
      </c>
      <c r="G38" s="7" t="s">
        <v>145</v>
      </c>
      <c r="H38" s="7" t="s">
        <v>214</v>
      </c>
      <c r="I38" s="7" t="s">
        <v>30</v>
      </c>
      <c r="J38" s="47">
        <v>1876374</v>
      </c>
      <c r="K38" s="51"/>
    </row>
    <row r="39" spans="1:11" ht="18" customHeight="1">
      <c r="A39" s="25">
        <v>14</v>
      </c>
      <c r="B39" s="17">
        <v>2</v>
      </c>
      <c r="C39" s="7" t="s">
        <v>172</v>
      </c>
      <c r="D39" s="7" t="s">
        <v>109</v>
      </c>
      <c r="E39" s="7" t="s">
        <v>106</v>
      </c>
      <c r="F39" s="8" t="s">
        <v>25</v>
      </c>
      <c r="G39" s="7" t="s">
        <v>146</v>
      </c>
      <c r="H39" s="7" t="s">
        <v>259</v>
      </c>
      <c r="I39" s="7" t="s">
        <v>26</v>
      </c>
      <c r="J39" s="47">
        <v>1643419</v>
      </c>
      <c r="K39" s="51"/>
    </row>
    <row r="40" spans="1:11" ht="18" customHeight="1">
      <c r="A40" s="25">
        <v>15</v>
      </c>
      <c r="B40" s="17">
        <v>2</v>
      </c>
      <c r="C40" s="7" t="s">
        <v>144</v>
      </c>
      <c r="D40" s="7" t="s">
        <v>108</v>
      </c>
      <c r="E40" s="7" t="s">
        <v>109</v>
      </c>
      <c r="F40" s="12" t="s">
        <v>52</v>
      </c>
      <c r="G40" s="7" t="s">
        <v>147</v>
      </c>
      <c r="H40" s="7" t="s">
        <v>208</v>
      </c>
      <c r="I40" s="7" t="s">
        <v>26</v>
      </c>
      <c r="J40" s="47">
        <v>4006281</v>
      </c>
      <c r="K40" s="51"/>
    </row>
    <row r="41" spans="1:11" ht="18" customHeight="1">
      <c r="A41" s="25">
        <v>16</v>
      </c>
      <c r="B41" s="17">
        <v>2</v>
      </c>
      <c r="C41" s="7" t="s">
        <v>161</v>
      </c>
      <c r="D41" s="7" t="s">
        <v>111</v>
      </c>
      <c r="E41" s="7" t="s">
        <v>107</v>
      </c>
      <c r="F41" s="8" t="s">
        <v>25</v>
      </c>
      <c r="G41" s="7" t="s">
        <v>155</v>
      </c>
      <c r="H41" s="7" t="s">
        <v>240</v>
      </c>
      <c r="I41" s="7" t="s">
        <v>17</v>
      </c>
      <c r="J41" s="47">
        <v>5415720</v>
      </c>
      <c r="K41" s="51"/>
    </row>
    <row r="42" spans="1:11" ht="18" customHeight="1">
      <c r="A42" s="25">
        <v>17</v>
      </c>
      <c r="B42" s="17">
        <v>2</v>
      </c>
      <c r="C42" s="7" t="s">
        <v>144</v>
      </c>
      <c r="D42" s="7" t="s">
        <v>105</v>
      </c>
      <c r="E42" s="7" t="s">
        <v>108</v>
      </c>
      <c r="F42" s="8" t="s">
        <v>25</v>
      </c>
      <c r="G42" s="7" t="s">
        <v>156</v>
      </c>
      <c r="H42" s="7" t="s">
        <v>216</v>
      </c>
      <c r="I42" s="7" t="s">
        <v>17</v>
      </c>
      <c r="J42" s="47">
        <v>5048763</v>
      </c>
      <c r="K42" s="51"/>
    </row>
    <row r="43" spans="1:11" ht="18" customHeight="1">
      <c r="A43" s="25">
        <v>18</v>
      </c>
      <c r="B43" s="17">
        <v>2</v>
      </c>
      <c r="C43" s="7" t="s">
        <v>173</v>
      </c>
      <c r="D43" s="7" t="s">
        <v>110</v>
      </c>
      <c r="E43" s="7" t="s">
        <v>111</v>
      </c>
      <c r="F43" s="8" t="s">
        <v>25</v>
      </c>
      <c r="G43" s="7" t="s">
        <v>157</v>
      </c>
      <c r="H43" s="7" t="s">
        <v>220</v>
      </c>
      <c r="I43" s="7" t="s">
        <v>17</v>
      </c>
      <c r="J43" s="47">
        <v>1944507</v>
      </c>
      <c r="K43" s="51"/>
    </row>
    <row r="44" spans="1:11" ht="18" customHeight="1">
      <c r="A44" s="25">
        <v>19</v>
      </c>
      <c r="B44" s="17">
        <v>2</v>
      </c>
      <c r="C44" s="7" t="s">
        <v>174</v>
      </c>
      <c r="D44" s="7" t="s">
        <v>112</v>
      </c>
      <c r="E44" s="7" t="s">
        <v>110</v>
      </c>
      <c r="F44" s="12" t="s">
        <v>52</v>
      </c>
      <c r="G44" s="7" t="s">
        <v>144</v>
      </c>
      <c r="H44" s="7" t="s">
        <v>261</v>
      </c>
      <c r="I44" s="7" t="s">
        <v>26</v>
      </c>
      <c r="J44" s="47">
        <v>7916906</v>
      </c>
      <c r="K44" s="51"/>
    </row>
    <row r="45" spans="1:11" ht="18" customHeight="1">
      <c r="A45" s="25">
        <v>20</v>
      </c>
      <c r="B45" s="17">
        <v>2</v>
      </c>
      <c r="C45" s="7" t="s">
        <v>175</v>
      </c>
      <c r="D45" s="7" t="s">
        <v>110</v>
      </c>
      <c r="E45" s="7" t="s">
        <v>113</v>
      </c>
      <c r="F45" s="8" t="s">
        <v>25</v>
      </c>
      <c r="G45" s="7" t="s">
        <v>145</v>
      </c>
      <c r="H45" s="7" t="s">
        <v>210</v>
      </c>
      <c r="I45" s="7" t="s">
        <v>17</v>
      </c>
      <c r="J45" s="47">
        <v>4138526</v>
      </c>
      <c r="K45" s="51"/>
    </row>
    <row r="46" spans="1:11" ht="18" customHeight="1">
      <c r="A46" s="25">
        <v>21</v>
      </c>
      <c r="B46" s="17">
        <v>2</v>
      </c>
      <c r="C46" s="7" t="s">
        <v>176</v>
      </c>
      <c r="D46" s="7" t="s">
        <v>105</v>
      </c>
      <c r="E46" s="7" t="s">
        <v>110</v>
      </c>
      <c r="F46" s="9" t="s">
        <v>11</v>
      </c>
      <c r="G46" s="7" t="s">
        <v>146</v>
      </c>
      <c r="H46" s="7" t="s">
        <v>216</v>
      </c>
      <c r="I46" s="7">
        <v>18260</v>
      </c>
      <c r="J46" s="47">
        <v>7158923</v>
      </c>
      <c r="K46" s="51"/>
    </row>
    <row r="47" spans="1:11" ht="18" customHeight="1">
      <c r="A47" s="25">
        <v>22</v>
      </c>
      <c r="B47" s="17">
        <v>2</v>
      </c>
      <c r="C47" s="7" t="s">
        <v>177</v>
      </c>
      <c r="D47" s="7" t="s">
        <v>109</v>
      </c>
      <c r="E47" s="7" t="s">
        <v>110</v>
      </c>
      <c r="F47" s="8" t="s">
        <v>25</v>
      </c>
      <c r="G47" s="7" t="s">
        <v>147</v>
      </c>
      <c r="H47" s="7" t="s">
        <v>263</v>
      </c>
      <c r="I47" s="7" t="s">
        <v>17</v>
      </c>
      <c r="J47" s="47">
        <v>1183696</v>
      </c>
      <c r="K47" s="51"/>
    </row>
    <row r="48" spans="1:11" ht="18" customHeight="1">
      <c r="A48" s="25">
        <v>23</v>
      </c>
      <c r="B48" s="17">
        <v>2</v>
      </c>
      <c r="C48" s="7" t="s">
        <v>178</v>
      </c>
      <c r="D48" s="7" t="s">
        <v>107</v>
      </c>
      <c r="E48" s="7" t="s">
        <v>107</v>
      </c>
      <c r="F48" s="8" t="s">
        <v>25</v>
      </c>
      <c r="G48" s="7" t="s">
        <v>155</v>
      </c>
      <c r="H48" s="7" t="s">
        <v>265</v>
      </c>
      <c r="I48" s="7" t="s">
        <v>17</v>
      </c>
      <c r="J48" s="47">
        <v>3928617</v>
      </c>
      <c r="K48" s="51"/>
    </row>
    <row r="49" spans="1:11" ht="18" customHeight="1">
      <c r="A49" s="29">
        <v>24</v>
      </c>
      <c r="B49" s="30">
        <v>2</v>
      </c>
      <c r="C49" s="20" t="s">
        <v>147</v>
      </c>
      <c r="D49" s="20" t="s">
        <v>108</v>
      </c>
      <c r="E49" s="20" t="s">
        <v>107</v>
      </c>
      <c r="F49" s="20" t="s">
        <v>52</v>
      </c>
      <c r="G49" s="7" t="s">
        <v>156</v>
      </c>
      <c r="H49" s="20" t="s">
        <v>218</v>
      </c>
      <c r="I49" s="20" t="s">
        <v>28</v>
      </c>
      <c r="J49" s="49">
        <v>5898530</v>
      </c>
      <c r="K49" s="51"/>
    </row>
    <row r="50" spans="1:11" ht="18" customHeight="1">
      <c r="A50" s="25">
        <v>25</v>
      </c>
      <c r="B50" s="17">
        <v>2</v>
      </c>
      <c r="C50" s="7" t="s">
        <v>179</v>
      </c>
      <c r="D50" s="7" t="s">
        <v>106</v>
      </c>
      <c r="E50" s="7" t="s">
        <v>107</v>
      </c>
      <c r="F50" s="9" t="s">
        <v>11</v>
      </c>
      <c r="G50" s="7" t="s">
        <v>157</v>
      </c>
      <c r="H50" s="7" t="s">
        <v>267</v>
      </c>
      <c r="I50" s="7">
        <v>18230</v>
      </c>
      <c r="J50" s="47">
        <v>7916346</v>
      </c>
      <c r="K50" s="51"/>
    </row>
    <row r="51" spans="1:11" ht="18" customHeight="1">
      <c r="A51" s="25">
        <v>26</v>
      </c>
      <c r="B51" s="17">
        <v>2</v>
      </c>
      <c r="C51" s="7" t="s">
        <v>140</v>
      </c>
      <c r="D51" s="7"/>
      <c r="E51" s="7" t="s">
        <v>106</v>
      </c>
      <c r="F51" s="12" t="s">
        <v>52</v>
      </c>
      <c r="G51" s="7" t="s">
        <v>144</v>
      </c>
      <c r="H51" s="7" t="s">
        <v>210</v>
      </c>
      <c r="I51" s="7" t="s">
        <v>26</v>
      </c>
      <c r="J51" s="47">
        <v>9717626</v>
      </c>
      <c r="K51" s="51"/>
    </row>
    <row r="52" spans="1:11" ht="18" customHeight="1">
      <c r="A52" s="25">
        <v>27</v>
      </c>
      <c r="B52" s="17">
        <v>2</v>
      </c>
      <c r="C52" s="7" t="s">
        <v>155</v>
      </c>
      <c r="D52" s="7" t="s">
        <v>108</v>
      </c>
      <c r="E52" s="7"/>
      <c r="F52" s="12" t="s">
        <v>52</v>
      </c>
      <c r="G52" s="7" t="s">
        <v>145</v>
      </c>
      <c r="H52" s="7" t="s">
        <v>210</v>
      </c>
      <c r="I52" s="7" t="s">
        <v>22</v>
      </c>
      <c r="J52" s="47">
        <v>5552175</v>
      </c>
      <c r="K52" s="51"/>
    </row>
    <row r="53" spans="1:11" ht="18" customHeight="1">
      <c r="A53" s="25">
        <v>28</v>
      </c>
      <c r="B53" s="17">
        <v>2</v>
      </c>
      <c r="C53" s="7" t="s">
        <v>176</v>
      </c>
      <c r="D53" s="7" t="s">
        <v>109</v>
      </c>
      <c r="E53" s="7" t="s">
        <v>109</v>
      </c>
      <c r="F53" s="12" t="s">
        <v>52</v>
      </c>
      <c r="G53" s="7" t="s">
        <v>146</v>
      </c>
      <c r="H53" s="7" t="s">
        <v>216</v>
      </c>
      <c r="I53" s="7" t="s">
        <v>13</v>
      </c>
      <c r="J53" s="47">
        <v>6657305</v>
      </c>
      <c r="K53" s="51"/>
    </row>
    <row r="54" spans="1:11" ht="18" customHeight="1">
      <c r="A54" s="25">
        <v>29</v>
      </c>
      <c r="B54" s="17">
        <v>2</v>
      </c>
      <c r="C54" s="7" t="s">
        <v>180</v>
      </c>
      <c r="D54" s="7" t="s">
        <v>110</v>
      </c>
      <c r="E54" s="7" t="s">
        <v>106</v>
      </c>
      <c r="F54" s="12" t="s">
        <v>52</v>
      </c>
      <c r="G54" s="7" t="s">
        <v>147</v>
      </c>
      <c r="H54" s="7">
        <v>6</v>
      </c>
      <c r="I54" s="7" t="s">
        <v>26</v>
      </c>
      <c r="J54" s="47">
        <v>4688349</v>
      </c>
      <c r="K54" s="51"/>
    </row>
    <row r="55" spans="1:11" ht="18" customHeight="1">
      <c r="A55" s="34">
        <v>30</v>
      </c>
      <c r="B55" s="32">
        <v>2</v>
      </c>
      <c r="C55" s="31" t="s">
        <v>181</v>
      </c>
      <c r="D55" s="31" t="s">
        <v>106</v>
      </c>
      <c r="E55" s="31" t="s">
        <v>110</v>
      </c>
      <c r="F55" s="31" t="s">
        <v>23</v>
      </c>
      <c r="G55" s="7" t="s">
        <v>155</v>
      </c>
      <c r="H55" s="31"/>
      <c r="I55" s="31"/>
      <c r="J55" s="46"/>
      <c r="K55" s="51"/>
    </row>
    <row r="56" spans="1:11" ht="18" customHeight="1">
      <c r="A56" s="25">
        <v>31</v>
      </c>
      <c r="B56" s="7">
        <v>2</v>
      </c>
      <c r="C56" s="7" t="s">
        <v>182</v>
      </c>
      <c r="D56" s="7" t="s">
        <v>110</v>
      </c>
      <c r="E56" s="7" t="s">
        <v>108</v>
      </c>
      <c r="F56" s="9" t="s">
        <v>11</v>
      </c>
      <c r="G56" s="7" t="s">
        <v>156</v>
      </c>
      <c r="H56" s="7" t="s">
        <v>220</v>
      </c>
      <c r="I56" s="7">
        <v>18210</v>
      </c>
      <c r="J56" s="47">
        <v>6463477</v>
      </c>
      <c r="K56" s="51"/>
    </row>
    <row r="57" spans="1:11" ht="18" customHeight="1">
      <c r="A57" s="25">
        <v>32</v>
      </c>
      <c r="B57" s="7">
        <v>2</v>
      </c>
      <c r="C57" s="7" t="s">
        <v>183</v>
      </c>
      <c r="D57" s="7" t="s">
        <v>112</v>
      </c>
      <c r="E57" s="7" t="s">
        <v>107</v>
      </c>
      <c r="F57" s="8" t="s">
        <v>25</v>
      </c>
      <c r="G57" s="7" t="s">
        <v>157</v>
      </c>
      <c r="H57" s="7"/>
      <c r="I57" s="7" t="s">
        <v>17</v>
      </c>
      <c r="J57" s="47">
        <v>7688771</v>
      </c>
      <c r="K57" s="51"/>
    </row>
    <row r="58" spans="1:11" ht="18" customHeight="1">
      <c r="A58" s="7">
        <v>1</v>
      </c>
      <c r="B58" s="7">
        <v>3</v>
      </c>
      <c r="C58" s="2" t="s">
        <v>184</v>
      </c>
      <c r="D58" s="2" t="s">
        <v>110</v>
      </c>
      <c r="E58" s="2" t="s">
        <v>105</v>
      </c>
      <c r="F58" s="12" t="s">
        <v>52</v>
      </c>
      <c r="G58" s="7" t="s">
        <v>144</v>
      </c>
      <c r="H58" s="24" t="s">
        <v>210</v>
      </c>
      <c r="I58" s="2" t="s">
        <v>29</v>
      </c>
      <c r="J58" s="47">
        <v>8708147</v>
      </c>
      <c r="K58" s="51"/>
    </row>
    <row r="59" spans="1:11" ht="18" customHeight="1">
      <c r="A59" s="7">
        <v>2</v>
      </c>
      <c r="B59" s="7">
        <v>3</v>
      </c>
      <c r="C59" s="7" t="s">
        <v>185</v>
      </c>
      <c r="D59" s="7" t="s">
        <v>107</v>
      </c>
      <c r="E59" s="7" t="s">
        <v>111</v>
      </c>
      <c r="F59" s="9" t="s">
        <v>11</v>
      </c>
      <c r="G59" s="7" t="s">
        <v>145</v>
      </c>
      <c r="H59" s="7" t="s">
        <v>218</v>
      </c>
      <c r="I59" s="7">
        <v>18250</v>
      </c>
      <c r="J59" s="47">
        <v>6541881</v>
      </c>
      <c r="K59" s="51"/>
    </row>
    <row r="60" spans="1:11" ht="18" customHeight="1">
      <c r="A60" s="7">
        <v>3</v>
      </c>
      <c r="B60" s="7">
        <v>3</v>
      </c>
      <c r="C60" s="7" t="s">
        <v>186</v>
      </c>
      <c r="D60" s="7" t="s">
        <v>106</v>
      </c>
      <c r="E60" s="7" t="s">
        <v>107</v>
      </c>
      <c r="F60" s="9" t="s">
        <v>11</v>
      </c>
      <c r="G60" s="7" t="s">
        <v>146</v>
      </c>
      <c r="H60" s="7" t="s">
        <v>218</v>
      </c>
      <c r="I60" s="7">
        <v>18250</v>
      </c>
      <c r="J60" s="47">
        <v>4728254</v>
      </c>
      <c r="K60" s="51"/>
    </row>
    <row r="61" spans="1:11" ht="18" customHeight="1">
      <c r="A61" s="7">
        <v>4</v>
      </c>
      <c r="B61" s="7">
        <v>3</v>
      </c>
      <c r="C61" s="7" t="s">
        <v>145</v>
      </c>
      <c r="D61" s="7" t="s">
        <v>111</v>
      </c>
      <c r="E61" s="7" t="s">
        <v>113</v>
      </c>
      <c r="F61" s="8" t="s">
        <v>25</v>
      </c>
      <c r="G61" s="7" t="s">
        <v>147</v>
      </c>
      <c r="H61" s="7" t="s">
        <v>210</v>
      </c>
      <c r="I61" s="7" t="s">
        <v>17</v>
      </c>
      <c r="J61" s="47">
        <v>4600831</v>
      </c>
      <c r="K61" s="51"/>
    </row>
    <row r="62" spans="1:11" ht="18" customHeight="1">
      <c r="A62" s="7">
        <v>5</v>
      </c>
      <c r="B62" s="7">
        <v>3</v>
      </c>
      <c r="C62" s="7" t="s">
        <v>162</v>
      </c>
      <c r="D62" s="7" t="s">
        <v>107</v>
      </c>
      <c r="E62" s="7" t="s">
        <v>112</v>
      </c>
      <c r="F62" s="8" t="s">
        <v>25</v>
      </c>
      <c r="G62" s="7" t="s">
        <v>155</v>
      </c>
      <c r="H62" s="7" t="s">
        <v>246</v>
      </c>
      <c r="I62" s="7" t="s">
        <v>17</v>
      </c>
      <c r="J62" s="47">
        <v>2323256</v>
      </c>
      <c r="K62" s="51"/>
    </row>
    <row r="63" spans="1:11" ht="18" customHeight="1">
      <c r="A63" s="7">
        <v>6</v>
      </c>
      <c r="B63" s="7">
        <v>3</v>
      </c>
      <c r="C63" s="7" t="s">
        <v>187</v>
      </c>
      <c r="D63" s="7" t="s">
        <v>105</v>
      </c>
      <c r="E63" s="7" t="s">
        <v>113</v>
      </c>
      <c r="F63" s="8" t="s">
        <v>25</v>
      </c>
      <c r="G63" s="7" t="s">
        <v>156</v>
      </c>
      <c r="H63" s="7" t="s">
        <v>218</v>
      </c>
      <c r="I63" s="7" t="s">
        <v>17</v>
      </c>
      <c r="J63" s="47">
        <v>819600</v>
      </c>
      <c r="K63" s="51"/>
    </row>
    <row r="64" spans="1:11" ht="18" customHeight="1">
      <c r="A64" s="31">
        <v>7</v>
      </c>
      <c r="B64" s="31">
        <v>3</v>
      </c>
      <c r="C64" s="31" t="s">
        <v>184</v>
      </c>
      <c r="D64" s="31" t="s">
        <v>107</v>
      </c>
      <c r="E64" s="31"/>
      <c r="F64" s="31" t="s">
        <v>23</v>
      </c>
      <c r="G64" s="7" t="s">
        <v>157</v>
      </c>
      <c r="H64" s="31"/>
      <c r="I64" s="31"/>
      <c r="J64" s="46"/>
      <c r="K64" s="51"/>
    </row>
    <row r="65" spans="1:11" ht="18" customHeight="1">
      <c r="A65" s="7">
        <v>8</v>
      </c>
      <c r="B65" s="7">
        <v>3</v>
      </c>
      <c r="C65" s="7" t="s">
        <v>149</v>
      </c>
      <c r="D65" s="7" t="s">
        <v>111</v>
      </c>
      <c r="E65" s="7" t="s">
        <v>104</v>
      </c>
      <c r="F65" s="12" t="s">
        <v>52</v>
      </c>
      <c r="G65" s="7" t="s">
        <v>144</v>
      </c>
      <c r="H65" s="7" t="s">
        <v>224</v>
      </c>
      <c r="I65" s="7" t="s">
        <v>26</v>
      </c>
      <c r="J65" s="47">
        <v>7353738</v>
      </c>
      <c r="K65" s="51"/>
    </row>
    <row r="66" spans="1:11" ht="18" customHeight="1">
      <c r="A66" s="7">
        <v>9</v>
      </c>
      <c r="B66" s="7">
        <v>3</v>
      </c>
      <c r="C66" s="7" t="s">
        <v>188</v>
      </c>
      <c r="D66" s="7" t="s">
        <v>105</v>
      </c>
      <c r="E66" s="7" t="s">
        <v>107</v>
      </c>
      <c r="F66" s="8" t="s">
        <v>25</v>
      </c>
      <c r="G66" s="7" t="s">
        <v>145</v>
      </c>
      <c r="H66" s="7" t="s">
        <v>222</v>
      </c>
      <c r="I66" s="7" t="s">
        <v>17</v>
      </c>
      <c r="J66" s="47">
        <v>3153961</v>
      </c>
      <c r="K66" s="51"/>
    </row>
    <row r="67" spans="1:11" ht="18" customHeight="1">
      <c r="A67" s="7">
        <v>10</v>
      </c>
      <c r="B67" s="7">
        <v>3</v>
      </c>
      <c r="C67" s="7" t="s">
        <v>189</v>
      </c>
      <c r="D67" s="7" t="s">
        <v>113</v>
      </c>
      <c r="E67" s="7" t="s">
        <v>106</v>
      </c>
      <c r="F67" s="8" t="s">
        <v>25</v>
      </c>
      <c r="G67" s="7" t="s">
        <v>146</v>
      </c>
      <c r="H67" s="7" t="s">
        <v>271</v>
      </c>
      <c r="I67" s="7" t="s">
        <v>17</v>
      </c>
      <c r="J67" s="47">
        <v>8084497</v>
      </c>
      <c r="K67" s="51"/>
    </row>
    <row r="68" spans="1:11" ht="18" customHeight="1">
      <c r="A68" s="7">
        <v>11</v>
      </c>
      <c r="B68" s="7">
        <v>3</v>
      </c>
      <c r="C68" s="7" t="s">
        <v>175</v>
      </c>
      <c r="D68" s="7" t="s">
        <v>113</v>
      </c>
      <c r="E68" s="7" t="s">
        <v>105</v>
      </c>
      <c r="F68" s="12" t="s">
        <v>52</v>
      </c>
      <c r="G68" s="7" t="s">
        <v>147</v>
      </c>
      <c r="H68" s="7" t="s">
        <v>210</v>
      </c>
      <c r="I68" s="7" t="s">
        <v>30</v>
      </c>
      <c r="J68" s="47">
        <v>7588217</v>
      </c>
      <c r="K68" s="51"/>
    </row>
    <row r="69" spans="1:11" ht="18" customHeight="1">
      <c r="A69" s="7">
        <v>12</v>
      </c>
      <c r="B69" s="7">
        <v>3</v>
      </c>
      <c r="C69" s="7" t="s">
        <v>190</v>
      </c>
      <c r="D69" s="7" t="s">
        <v>107</v>
      </c>
      <c r="E69" s="7" t="s">
        <v>105</v>
      </c>
      <c r="F69" s="12" t="s">
        <v>52</v>
      </c>
      <c r="G69" s="7" t="s">
        <v>155</v>
      </c>
      <c r="H69" s="7" t="s">
        <v>206</v>
      </c>
      <c r="I69" s="7" t="s">
        <v>31</v>
      </c>
      <c r="J69" s="47">
        <v>6625511</v>
      </c>
      <c r="K69" s="51"/>
    </row>
    <row r="70" spans="1:11" ht="18" customHeight="1">
      <c r="A70" s="7">
        <v>13</v>
      </c>
      <c r="B70" s="7">
        <v>3</v>
      </c>
      <c r="C70" s="7" t="s">
        <v>178</v>
      </c>
      <c r="D70" s="7"/>
      <c r="E70" s="7" t="s">
        <v>107</v>
      </c>
      <c r="F70" s="8" t="s">
        <v>25</v>
      </c>
      <c r="G70" s="7" t="s">
        <v>156</v>
      </c>
      <c r="H70" s="7" t="s">
        <v>210</v>
      </c>
      <c r="I70" s="7" t="s">
        <v>17</v>
      </c>
      <c r="J70" s="47">
        <v>8572462</v>
      </c>
      <c r="K70" s="51"/>
    </row>
    <row r="71" spans="1:11" ht="18" customHeight="1">
      <c r="A71" s="7">
        <v>14</v>
      </c>
      <c r="B71" s="7">
        <v>3</v>
      </c>
      <c r="C71" s="7" t="s">
        <v>179</v>
      </c>
      <c r="D71" s="7" t="s">
        <v>113</v>
      </c>
      <c r="E71" s="7" t="s">
        <v>111</v>
      </c>
      <c r="F71" s="12" t="s">
        <v>52</v>
      </c>
      <c r="G71" s="7" t="s">
        <v>157</v>
      </c>
      <c r="H71" s="7" t="s">
        <v>267</v>
      </c>
      <c r="I71" s="7" t="s">
        <v>26</v>
      </c>
      <c r="J71" s="47">
        <v>2125170</v>
      </c>
      <c r="K71" s="51"/>
    </row>
    <row r="72" spans="1:11" ht="18" customHeight="1">
      <c r="A72" s="7">
        <v>15</v>
      </c>
      <c r="B72" s="7">
        <v>3</v>
      </c>
      <c r="C72" s="7" t="s">
        <v>160</v>
      </c>
      <c r="D72" s="7" t="s">
        <v>107</v>
      </c>
      <c r="E72" s="7" t="s">
        <v>113</v>
      </c>
      <c r="F72" s="9" t="s">
        <v>11</v>
      </c>
      <c r="G72" s="7" t="s">
        <v>144</v>
      </c>
      <c r="H72" s="7" t="s">
        <v>242</v>
      </c>
      <c r="I72" s="7">
        <v>18280</v>
      </c>
      <c r="J72" s="47">
        <v>8070238</v>
      </c>
      <c r="K72" s="51"/>
    </row>
    <row r="73" spans="1:11" ht="18" customHeight="1">
      <c r="A73" s="7">
        <v>16</v>
      </c>
      <c r="B73" s="7">
        <v>3</v>
      </c>
      <c r="C73" s="7" t="s">
        <v>191</v>
      </c>
      <c r="D73" s="7" t="s">
        <v>107</v>
      </c>
      <c r="E73" s="7" t="s">
        <v>105</v>
      </c>
      <c r="F73" s="12" t="s">
        <v>52</v>
      </c>
      <c r="G73" s="7" t="s">
        <v>145</v>
      </c>
      <c r="H73" s="7" t="s">
        <v>273</v>
      </c>
      <c r="I73" s="7" t="s">
        <v>36</v>
      </c>
      <c r="J73" s="47">
        <v>7096048</v>
      </c>
      <c r="K73" s="51"/>
    </row>
    <row r="74" spans="1:11" ht="18" customHeight="1">
      <c r="A74" s="7">
        <v>17</v>
      </c>
      <c r="B74" s="7">
        <v>7</v>
      </c>
      <c r="C74" s="33" t="s">
        <v>192</v>
      </c>
      <c r="D74" s="33" t="s">
        <v>106</v>
      </c>
      <c r="E74" s="33" t="s">
        <v>107</v>
      </c>
      <c r="F74" s="8" t="s">
        <v>25</v>
      </c>
      <c r="G74" s="7" t="s">
        <v>146</v>
      </c>
      <c r="H74" s="33" t="s">
        <v>220</v>
      </c>
      <c r="I74" s="33" t="s">
        <v>99</v>
      </c>
      <c r="J74" s="48">
        <v>3097856</v>
      </c>
      <c r="K74" s="51"/>
    </row>
    <row r="75" spans="1:11" ht="18" customHeight="1">
      <c r="A75" s="20">
        <v>18</v>
      </c>
      <c r="B75" s="20">
        <v>7</v>
      </c>
      <c r="C75" s="20" t="s">
        <v>193</v>
      </c>
      <c r="D75" s="20" t="s">
        <v>110</v>
      </c>
      <c r="E75" s="20" t="s">
        <v>104</v>
      </c>
      <c r="F75" s="20" t="s">
        <v>11</v>
      </c>
      <c r="G75" s="7" t="s">
        <v>147</v>
      </c>
      <c r="H75" s="20" t="s">
        <v>275</v>
      </c>
      <c r="I75" s="20">
        <v>18260</v>
      </c>
      <c r="J75" s="49">
        <v>840579</v>
      </c>
      <c r="K75" s="51"/>
    </row>
    <row r="76" spans="1:11" ht="18" customHeight="1">
      <c r="A76" s="7">
        <v>19</v>
      </c>
      <c r="B76" s="7">
        <v>7</v>
      </c>
      <c r="C76" s="7" t="s">
        <v>172</v>
      </c>
      <c r="D76" s="7" t="s">
        <v>113</v>
      </c>
      <c r="E76" s="7" t="s">
        <v>113</v>
      </c>
      <c r="F76" s="8" t="s">
        <v>25</v>
      </c>
      <c r="G76" s="7" t="s">
        <v>155</v>
      </c>
      <c r="H76" s="7" t="s">
        <v>277</v>
      </c>
      <c r="I76" s="7" t="s">
        <v>17</v>
      </c>
      <c r="J76" s="47">
        <v>1491985</v>
      </c>
      <c r="K76" s="51"/>
    </row>
    <row r="77" spans="1:11" ht="18" customHeight="1">
      <c r="A77" s="31">
        <v>20</v>
      </c>
      <c r="B77" s="35">
        <v>7</v>
      </c>
      <c r="C77" s="31" t="s">
        <v>194</v>
      </c>
      <c r="D77" s="31"/>
      <c r="E77" s="31" t="s">
        <v>110</v>
      </c>
      <c r="F77" s="31" t="s">
        <v>23</v>
      </c>
      <c r="G77" s="7" t="s">
        <v>156</v>
      </c>
      <c r="H77" s="31"/>
      <c r="I77" s="31"/>
      <c r="J77" s="46"/>
      <c r="K77" s="51"/>
    </row>
    <row r="78" spans="1:11" ht="18" customHeight="1">
      <c r="A78" s="7">
        <v>21</v>
      </c>
      <c r="B78" s="17">
        <v>7</v>
      </c>
      <c r="C78" s="7" t="s">
        <v>140</v>
      </c>
      <c r="D78" s="7"/>
      <c r="E78" s="7" t="s">
        <v>107</v>
      </c>
      <c r="F78" s="12" t="s">
        <v>52</v>
      </c>
      <c r="G78" s="7" t="s">
        <v>157</v>
      </c>
      <c r="H78" s="7" t="s">
        <v>265</v>
      </c>
      <c r="I78" s="7" t="s">
        <v>32</v>
      </c>
      <c r="J78" s="47">
        <v>8684293</v>
      </c>
      <c r="K78" s="51"/>
    </row>
    <row r="79" spans="1:11" ht="18" customHeight="1">
      <c r="A79" s="7">
        <v>22</v>
      </c>
      <c r="B79" s="17">
        <v>7</v>
      </c>
      <c r="C79" s="7" t="s">
        <v>195</v>
      </c>
      <c r="D79" s="7" t="s">
        <v>106</v>
      </c>
      <c r="E79" s="7" t="s">
        <v>107</v>
      </c>
      <c r="F79" s="12" t="s">
        <v>52</v>
      </c>
      <c r="G79" s="7" t="s">
        <v>144</v>
      </c>
      <c r="H79" s="7" t="s">
        <v>279</v>
      </c>
      <c r="I79" s="7" t="s">
        <v>26</v>
      </c>
      <c r="J79" s="47">
        <v>6393961</v>
      </c>
      <c r="K79" s="51"/>
    </row>
    <row r="80" spans="1:11" ht="21.75" customHeight="1">
      <c r="K80" s="51"/>
    </row>
    <row r="81" spans="11:11" ht="21.75" customHeight="1">
      <c r="K81" s="51"/>
    </row>
  </sheetData>
  <phoneticPr fontId="2"/>
  <pageMargins left="0.70866141732283472" right="0.70866141732283472" top="0.74803149606299213" bottom="0.74803149606299213" header="0.31496062992125984" footer="0.31496062992125984"/>
  <pageSetup paperSize="9" scale="65" fitToHeight="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3FAC3-05BC-485A-9D28-92A64B6DBFE3}">
  <sheetPr codeName="Sheet7">
    <tabColor theme="5" tint="0.39997558519241921"/>
  </sheetPr>
  <dimension ref="A1:D15"/>
  <sheetViews>
    <sheetView tabSelected="1" topLeftCell="A4" zoomScale="150" workbookViewId="0">
      <selection activeCell="C13" sqref="C13"/>
    </sheetView>
  </sheetViews>
  <sheetFormatPr baseColWidth="10" defaultColWidth="8.83203125" defaultRowHeight="15"/>
  <cols>
    <col min="2" max="2" width="17.5" customWidth="1"/>
    <col min="4" max="4" width="4.6640625" customWidth="1"/>
  </cols>
  <sheetData>
    <row r="1" spans="1:4">
      <c r="A1" s="41" t="s">
        <v>549</v>
      </c>
    </row>
    <row r="9" spans="1:4">
      <c r="B9" s="42" t="s">
        <v>550</v>
      </c>
      <c r="C9" s="42">
        <v>4800</v>
      </c>
      <c r="D9" s="42" t="s">
        <v>552</v>
      </c>
    </row>
    <row r="10" spans="1:4">
      <c r="B10" s="42" t="s">
        <v>551</v>
      </c>
      <c r="C10" s="42">
        <v>5300</v>
      </c>
      <c r="D10" s="42" t="s">
        <v>552</v>
      </c>
    </row>
    <row r="11" spans="1:4">
      <c r="B11" s="42" t="s">
        <v>555</v>
      </c>
      <c r="C11" s="42">
        <v>5200</v>
      </c>
      <c r="D11" s="42" t="s">
        <v>552</v>
      </c>
    </row>
    <row r="12" spans="1:4">
      <c r="B12" s="42" t="s">
        <v>556</v>
      </c>
      <c r="C12" s="42">
        <v>5700</v>
      </c>
      <c r="D12" s="42" t="s">
        <v>552</v>
      </c>
    </row>
    <row r="15" spans="1:4">
      <c r="B15" s="42" t="s">
        <v>560</v>
      </c>
      <c r="C15" s="57">
        <v>45047</v>
      </c>
      <c r="D15" s="58"/>
    </row>
  </sheetData>
  <mergeCells count="1">
    <mergeCell ref="C15:D15"/>
  </mergeCells>
  <phoneticPr fontId="2"/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A5B91-F988-4BE8-9B13-242C2410D9AF}">
  <sheetPr codeName="Sheet5"/>
  <dimension ref="A1:C119"/>
  <sheetViews>
    <sheetView topLeftCell="A104" workbookViewId="0">
      <selection activeCell="C123" sqref="A119:C123"/>
    </sheetView>
  </sheetViews>
  <sheetFormatPr baseColWidth="10" defaultColWidth="8.83203125" defaultRowHeight="15"/>
  <cols>
    <col min="1" max="1" width="13.6640625" customWidth="1"/>
    <col min="2" max="2" width="21.6640625" customWidth="1"/>
  </cols>
  <sheetData>
    <row r="1" spans="1:3" ht="20">
      <c r="A1" s="39" t="s">
        <v>516</v>
      </c>
      <c r="B1" s="39" t="s">
        <v>282</v>
      </c>
      <c r="C1" s="39">
        <v>101</v>
      </c>
    </row>
    <row r="2" spans="1:3" ht="20">
      <c r="A2" s="39" t="s">
        <v>401</v>
      </c>
      <c r="B2" s="39" t="s">
        <v>283</v>
      </c>
      <c r="C2" s="39">
        <v>103</v>
      </c>
    </row>
    <row r="3" spans="1:3" ht="20">
      <c r="A3" s="39" t="s">
        <v>402</v>
      </c>
      <c r="B3" s="39" t="s">
        <v>284</v>
      </c>
      <c r="C3" s="39">
        <v>105</v>
      </c>
    </row>
    <row r="4" spans="1:3" ht="20">
      <c r="A4" s="39" t="s">
        <v>403</v>
      </c>
      <c r="B4" s="39" t="s">
        <v>285</v>
      </c>
      <c r="C4" s="39">
        <v>106</v>
      </c>
    </row>
    <row r="5" spans="1:3" ht="20">
      <c r="A5" s="39" t="s">
        <v>404</v>
      </c>
      <c r="B5" s="39" t="s">
        <v>286</v>
      </c>
      <c r="C5" s="39">
        <v>107</v>
      </c>
    </row>
    <row r="6" spans="1:3" ht="20">
      <c r="A6" s="39" t="s">
        <v>405</v>
      </c>
      <c r="B6" s="39" t="s">
        <v>287</v>
      </c>
      <c r="C6" s="39">
        <v>108</v>
      </c>
    </row>
    <row r="7" spans="1:3" ht="20">
      <c r="A7" s="39" t="s">
        <v>406</v>
      </c>
      <c r="B7" s="39" t="s">
        <v>288</v>
      </c>
      <c r="C7" s="39">
        <v>109</v>
      </c>
    </row>
    <row r="8" spans="1:3" ht="20">
      <c r="A8" s="39" t="s">
        <v>407</v>
      </c>
      <c r="B8" s="39" t="s">
        <v>289</v>
      </c>
      <c r="C8" s="39">
        <v>110</v>
      </c>
    </row>
    <row r="9" spans="1:3" ht="20">
      <c r="A9" s="39" t="s">
        <v>408</v>
      </c>
      <c r="B9" s="39" t="s">
        <v>290</v>
      </c>
      <c r="C9" s="39">
        <v>111</v>
      </c>
    </row>
    <row r="10" spans="1:3" ht="20">
      <c r="A10" s="39" t="s">
        <v>409</v>
      </c>
      <c r="B10" s="39" t="s">
        <v>291</v>
      </c>
      <c r="C10" s="39">
        <v>112</v>
      </c>
    </row>
    <row r="11" spans="1:3" ht="20">
      <c r="A11" s="39" t="s">
        <v>410</v>
      </c>
      <c r="B11" s="39" t="s">
        <v>292</v>
      </c>
      <c r="C11" s="39">
        <v>113</v>
      </c>
    </row>
    <row r="12" spans="1:3" ht="20">
      <c r="A12" s="39" t="s">
        <v>411</v>
      </c>
      <c r="B12" s="39" t="s">
        <v>293</v>
      </c>
      <c r="C12" s="39">
        <v>114</v>
      </c>
    </row>
    <row r="13" spans="1:3" ht="20">
      <c r="A13" s="39" t="s">
        <v>412</v>
      </c>
      <c r="B13" s="39" t="s">
        <v>294</v>
      </c>
      <c r="C13" s="39">
        <v>115</v>
      </c>
    </row>
    <row r="14" spans="1:3" ht="20">
      <c r="A14" s="39" t="s">
        <v>413</v>
      </c>
      <c r="B14" s="39" t="s">
        <v>295</v>
      </c>
      <c r="C14" s="39">
        <v>116</v>
      </c>
    </row>
    <row r="15" spans="1:3" ht="20">
      <c r="A15" s="39" t="s">
        <v>414</v>
      </c>
      <c r="B15" s="39" t="s">
        <v>296</v>
      </c>
      <c r="C15" s="39">
        <v>117</v>
      </c>
    </row>
    <row r="16" spans="1:3" ht="20">
      <c r="A16" s="39" t="s">
        <v>415</v>
      </c>
      <c r="B16" s="39" t="s">
        <v>297</v>
      </c>
      <c r="C16" s="39">
        <v>118</v>
      </c>
    </row>
    <row r="17" spans="1:3" ht="20">
      <c r="A17" s="39" t="s">
        <v>416</v>
      </c>
      <c r="B17" s="39" t="s">
        <v>298</v>
      </c>
      <c r="C17" s="39">
        <v>119</v>
      </c>
    </row>
    <row r="18" spans="1:3" ht="20">
      <c r="A18" s="39" t="s">
        <v>417</v>
      </c>
      <c r="B18" s="39" t="s">
        <v>299</v>
      </c>
      <c r="C18" s="39">
        <v>120</v>
      </c>
    </row>
    <row r="19" spans="1:3" ht="20">
      <c r="A19" s="39" t="s">
        <v>418</v>
      </c>
      <c r="B19" s="39" t="s">
        <v>300</v>
      </c>
      <c r="C19" s="39">
        <v>122</v>
      </c>
    </row>
    <row r="20" spans="1:3" ht="20">
      <c r="A20" s="39" t="s">
        <v>419</v>
      </c>
      <c r="B20" s="39" t="s">
        <v>301</v>
      </c>
      <c r="C20" s="39">
        <v>123</v>
      </c>
    </row>
    <row r="21" spans="1:3" ht="20">
      <c r="A21" s="39" t="s">
        <v>420</v>
      </c>
      <c r="B21" s="39" t="s">
        <v>302</v>
      </c>
      <c r="C21" s="39">
        <v>124</v>
      </c>
    </row>
    <row r="22" spans="1:3" ht="20">
      <c r="A22" s="39" t="s">
        <v>421</v>
      </c>
      <c r="B22" s="39" t="s">
        <v>303</v>
      </c>
      <c r="C22" s="39">
        <v>125</v>
      </c>
    </row>
    <row r="23" spans="1:3" ht="20">
      <c r="A23" s="39" t="s">
        <v>422</v>
      </c>
      <c r="B23" s="39" t="s">
        <v>304</v>
      </c>
      <c r="C23" s="39">
        <v>127</v>
      </c>
    </row>
    <row r="24" spans="1:3" ht="20">
      <c r="A24" s="39" t="s">
        <v>423</v>
      </c>
      <c r="B24" s="39" t="s">
        <v>305</v>
      </c>
      <c r="C24" s="39">
        <v>128</v>
      </c>
    </row>
    <row r="25" spans="1:3" ht="20">
      <c r="A25" s="39" t="s">
        <v>424</v>
      </c>
      <c r="B25" s="39" t="s">
        <v>306</v>
      </c>
      <c r="C25" s="39">
        <v>129</v>
      </c>
    </row>
    <row r="26" spans="1:3" ht="20">
      <c r="A26" s="39" t="s">
        <v>425</v>
      </c>
      <c r="B26" s="39" t="s">
        <v>307</v>
      </c>
      <c r="C26" s="39">
        <v>130</v>
      </c>
    </row>
    <row r="27" spans="1:3" ht="20">
      <c r="A27" s="39" t="s">
        <v>426</v>
      </c>
      <c r="B27" s="39" t="s">
        <v>308</v>
      </c>
      <c r="C27" s="39">
        <v>131</v>
      </c>
    </row>
    <row r="28" spans="1:3" ht="20">
      <c r="A28" s="39" t="s">
        <v>427</v>
      </c>
      <c r="B28" s="39" t="s">
        <v>309</v>
      </c>
      <c r="C28" s="39">
        <v>133</v>
      </c>
    </row>
    <row r="29" spans="1:3" ht="20">
      <c r="A29" s="39" t="s">
        <v>517</v>
      </c>
      <c r="B29" s="39" t="s">
        <v>310</v>
      </c>
      <c r="C29" s="39">
        <v>200</v>
      </c>
    </row>
    <row r="30" spans="1:3" ht="20">
      <c r="A30" s="39" t="s">
        <v>428</v>
      </c>
      <c r="B30" s="39" t="s">
        <v>311</v>
      </c>
      <c r="C30" s="39">
        <v>201</v>
      </c>
    </row>
    <row r="31" spans="1:3" ht="20">
      <c r="A31" s="39" t="s">
        <v>429</v>
      </c>
      <c r="B31" s="39" t="s">
        <v>312</v>
      </c>
      <c r="C31" s="39">
        <v>202</v>
      </c>
    </row>
    <row r="32" spans="1:3" ht="20">
      <c r="A32" s="39" t="s">
        <v>430</v>
      </c>
      <c r="B32" s="39" t="s">
        <v>313</v>
      </c>
      <c r="C32" s="39">
        <v>203</v>
      </c>
    </row>
    <row r="33" spans="1:3" ht="20">
      <c r="A33" s="39" t="s">
        <v>431</v>
      </c>
      <c r="B33" s="39" t="s">
        <v>314</v>
      </c>
      <c r="C33" s="39">
        <v>204</v>
      </c>
    </row>
    <row r="34" spans="1:3" ht="20">
      <c r="A34" s="39" t="s">
        <v>432</v>
      </c>
      <c r="B34" s="39" t="s">
        <v>315</v>
      </c>
      <c r="C34" s="39">
        <v>205</v>
      </c>
    </row>
    <row r="35" spans="1:3" ht="20">
      <c r="A35" s="39" t="s">
        <v>433</v>
      </c>
      <c r="B35" s="39" t="s">
        <v>316</v>
      </c>
      <c r="C35" s="39">
        <v>206</v>
      </c>
    </row>
    <row r="36" spans="1:3" ht="20">
      <c r="A36" s="39" t="s">
        <v>434</v>
      </c>
      <c r="B36" s="39" t="s">
        <v>317</v>
      </c>
      <c r="C36" s="39">
        <v>207</v>
      </c>
    </row>
    <row r="37" spans="1:3" ht="20">
      <c r="A37" s="39" t="s">
        <v>435</v>
      </c>
      <c r="B37" s="39" t="s">
        <v>318</v>
      </c>
      <c r="C37" s="39">
        <v>208</v>
      </c>
    </row>
    <row r="38" spans="1:3" ht="20">
      <c r="A38" s="39" t="s">
        <v>436</v>
      </c>
      <c r="B38" s="39" t="s">
        <v>319</v>
      </c>
      <c r="C38" s="39">
        <v>209</v>
      </c>
    </row>
    <row r="39" spans="1:3" ht="20">
      <c r="A39" s="39" t="s">
        <v>437</v>
      </c>
      <c r="B39" s="39" t="s">
        <v>320</v>
      </c>
      <c r="C39" s="39">
        <v>211</v>
      </c>
    </row>
    <row r="40" spans="1:3" ht="20">
      <c r="A40" s="39" t="s">
        <v>438</v>
      </c>
      <c r="B40" s="39" t="s">
        <v>321</v>
      </c>
      <c r="C40" s="39">
        <v>212</v>
      </c>
    </row>
    <row r="41" spans="1:3" ht="20">
      <c r="A41" s="39" t="s">
        <v>439</v>
      </c>
      <c r="B41" s="39" t="s">
        <v>322</v>
      </c>
      <c r="C41" s="39">
        <v>213</v>
      </c>
    </row>
    <row r="42" spans="1:3" ht="20">
      <c r="A42" s="39" t="s">
        <v>440</v>
      </c>
      <c r="B42" s="39" t="s">
        <v>323</v>
      </c>
      <c r="C42" s="39">
        <v>214</v>
      </c>
    </row>
    <row r="43" spans="1:3" ht="20">
      <c r="A43" s="39" t="s">
        <v>441</v>
      </c>
      <c r="B43" s="39" t="s">
        <v>324</v>
      </c>
      <c r="C43" s="39">
        <v>215</v>
      </c>
    </row>
    <row r="44" spans="1:3" ht="20">
      <c r="A44" s="39" t="s">
        <v>442</v>
      </c>
      <c r="B44" s="39" t="s">
        <v>325</v>
      </c>
      <c r="C44" s="39">
        <v>218</v>
      </c>
    </row>
    <row r="45" spans="1:3" ht="20">
      <c r="A45" s="39" t="s">
        <v>443</v>
      </c>
      <c r="B45" s="39" t="s">
        <v>326</v>
      </c>
      <c r="C45" s="39">
        <v>219</v>
      </c>
    </row>
    <row r="46" spans="1:3" ht="20">
      <c r="A46" s="39" t="s">
        <v>444</v>
      </c>
      <c r="B46" s="39" t="s">
        <v>327</v>
      </c>
      <c r="C46" s="39">
        <v>220</v>
      </c>
    </row>
    <row r="47" spans="1:3" ht="20">
      <c r="A47" s="39" t="s">
        <v>445</v>
      </c>
      <c r="B47" s="39" t="s">
        <v>328</v>
      </c>
      <c r="C47" s="39">
        <v>222</v>
      </c>
    </row>
    <row r="48" spans="1:3" ht="20">
      <c r="A48" s="39" t="s">
        <v>446</v>
      </c>
      <c r="B48" s="39" t="s">
        <v>329</v>
      </c>
      <c r="C48" s="39">
        <v>223</v>
      </c>
    </row>
    <row r="49" spans="1:3" ht="20">
      <c r="A49" s="39" t="s">
        <v>447</v>
      </c>
      <c r="B49" s="39" t="s">
        <v>330</v>
      </c>
      <c r="C49" s="39">
        <v>224</v>
      </c>
    </row>
    <row r="50" spans="1:3" ht="20">
      <c r="A50" s="39" t="s">
        <v>448</v>
      </c>
      <c r="B50" s="39" t="s">
        <v>331</v>
      </c>
      <c r="C50" s="39">
        <v>225</v>
      </c>
    </row>
    <row r="51" spans="1:3" ht="20">
      <c r="A51" s="39" t="s">
        <v>449</v>
      </c>
      <c r="B51" s="39" t="s">
        <v>332</v>
      </c>
      <c r="C51" s="39">
        <v>226</v>
      </c>
    </row>
    <row r="52" spans="1:3" ht="20">
      <c r="A52" s="39" t="s">
        <v>450</v>
      </c>
      <c r="B52" s="39" t="s">
        <v>333</v>
      </c>
      <c r="C52" s="39">
        <v>227</v>
      </c>
    </row>
    <row r="53" spans="1:3" ht="20">
      <c r="A53" s="39" t="s">
        <v>451</v>
      </c>
      <c r="B53" s="39" t="s">
        <v>334</v>
      </c>
      <c r="C53" s="39">
        <v>228</v>
      </c>
    </row>
    <row r="54" spans="1:3" ht="20">
      <c r="A54" s="39" t="s">
        <v>452</v>
      </c>
      <c r="B54" s="39" t="s">
        <v>335</v>
      </c>
      <c r="C54" s="39">
        <v>229</v>
      </c>
    </row>
    <row r="55" spans="1:3" ht="20">
      <c r="A55" s="39" t="s">
        <v>453</v>
      </c>
      <c r="B55" s="39" t="s">
        <v>336</v>
      </c>
      <c r="C55" s="39">
        <v>230</v>
      </c>
    </row>
    <row r="56" spans="1:3" ht="20">
      <c r="A56" s="39" t="s">
        <v>454</v>
      </c>
      <c r="B56" s="39" t="s">
        <v>337</v>
      </c>
      <c r="C56" s="39">
        <v>232</v>
      </c>
    </row>
    <row r="57" spans="1:3" ht="20">
      <c r="A57" s="39" t="s">
        <v>455</v>
      </c>
      <c r="B57" s="39" t="s">
        <v>338</v>
      </c>
      <c r="C57" s="39">
        <v>233</v>
      </c>
    </row>
    <row r="58" spans="1:3" ht="20">
      <c r="A58" s="39" t="s">
        <v>456</v>
      </c>
      <c r="B58" s="39" t="s">
        <v>339</v>
      </c>
      <c r="C58" s="39">
        <v>301</v>
      </c>
    </row>
    <row r="59" spans="1:3" ht="20">
      <c r="A59" s="39" t="s">
        <v>457</v>
      </c>
      <c r="B59" s="39" t="s">
        <v>340</v>
      </c>
      <c r="C59" s="39">
        <v>302</v>
      </c>
    </row>
    <row r="60" spans="1:3" ht="20">
      <c r="A60" s="39" t="s">
        <v>458</v>
      </c>
      <c r="B60" s="39" t="s">
        <v>341</v>
      </c>
      <c r="C60" s="39">
        <v>303</v>
      </c>
    </row>
    <row r="61" spans="1:3" ht="20">
      <c r="A61" s="39" t="s">
        <v>459</v>
      </c>
      <c r="B61" s="39" t="s">
        <v>342</v>
      </c>
      <c r="C61" s="39">
        <v>305</v>
      </c>
    </row>
    <row r="62" spans="1:3" ht="20">
      <c r="A62" s="39" t="s">
        <v>460</v>
      </c>
      <c r="B62" s="39" t="s">
        <v>343</v>
      </c>
      <c r="C62" s="39">
        <v>306</v>
      </c>
    </row>
    <row r="63" spans="1:3" ht="20">
      <c r="A63" s="39" t="s">
        <v>461</v>
      </c>
      <c r="B63" s="39" t="s">
        <v>344</v>
      </c>
      <c r="C63" s="39">
        <v>307</v>
      </c>
    </row>
    <row r="64" spans="1:3" ht="20">
      <c r="A64" s="39" t="s">
        <v>462</v>
      </c>
      <c r="B64" s="39" t="s">
        <v>345</v>
      </c>
      <c r="C64" s="39">
        <v>308</v>
      </c>
    </row>
    <row r="65" spans="1:3" ht="20">
      <c r="A65" s="39" t="s">
        <v>463</v>
      </c>
      <c r="B65" s="39" t="s">
        <v>346</v>
      </c>
      <c r="C65" s="39">
        <v>309</v>
      </c>
    </row>
    <row r="66" spans="1:3" ht="20">
      <c r="A66" s="39" t="s">
        <v>464</v>
      </c>
      <c r="B66" s="39" t="s">
        <v>347</v>
      </c>
      <c r="C66" s="39">
        <v>310</v>
      </c>
    </row>
    <row r="67" spans="1:3" ht="20">
      <c r="A67" s="39" t="s">
        <v>465</v>
      </c>
      <c r="B67" s="39" t="s">
        <v>348</v>
      </c>
      <c r="C67" s="39">
        <v>401</v>
      </c>
    </row>
    <row r="68" spans="1:3" ht="20">
      <c r="A68" s="39" t="s">
        <v>80</v>
      </c>
      <c r="B68" s="39" t="s">
        <v>349</v>
      </c>
      <c r="C68" s="39">
        <v>402</v>
      </c>
    </row>
    <row r="69" spans="1:3" ht="20">
      <c r="A69" s="39" t="s">
        <v>466</v>
      </c>
      <c r="B69" s="39" t="s">
        <v>350</v>
      </c>
      <c r="C69" s="39">
        <v>403</v>
      </c>
    </row>
    <row r="70" spans="1:3" ht="20">
      <c r="A70" s="39" t="s">
        <v>467</v>
      </c>
      <c r="B70" s="39" t="s">
        <v>351</v>
      </c>
      <c r="C70" s="39">
        <v>404</v>
      </c>
    </row>
    <row r="71" spans="1:3" ht="20">
      <c r="A71" s="39" t="s">
        <v>468</v>
      </c>
      <c r="B71" s="39" t="s">
        <v>352</v>
      </c>
      <c r="C71" s="39">
        <v>405</v>
      </c>
    </row>
    <row r="72" spans="1:3" ht="20">
      <c r="A72" s="39" t="s">
        <v>469</v>
      </c>
      <c r="B72" s="39" t="s">
        <v>353</v>
      </c>
      <c r="C72" s="39">
        <v>406</v>
      </c>
    </row>
    <row r="73" spans="1:3" ht="20">
      <c r="A73" s="39" t="s">
        <v>470</v>
      </c>
      <c r="B73" s="39" t="s">
        <v>354</v>
      </c>
      <c r="C73" s="39">
        <v>407</v>
      </c>
    </row>
    <row r="74" spans="1:3" ht="20">
      <c r="A74" s="39" t="s">
        <v>471</v>
      </c>
      <c r="B74" s="39" t="s">
        <v>355</v>
      </c>
      <c r="C74" s="39">
        <v>408</v>
      </c>
    </row>
    <row r="75" spans="1:3" ht="20">
      <c r="A75" s="39" t="s">
        <v>472</v>
      </c>
      <c r="B75" s="39" t="s">
        <v>356</v>
      </c>
      <c r="C75" s="39">
        <v>410</v>
      </c>
    </row>
    <row r="76" spans="1:3" ht="20">
      <c r="A76" s="39" t="s">
        <v>473</v>
      </c>
      <c r="B76" s="39" t="s">
        <v>357</v>
      </c>
      <c r="C76" s="39">
        <v>411</v>
      </c>
    </row>
    <row r="77" spans="1:3" ht="20">
      <c r="A77" s="39" t="s">
        <v>474</v>
      </c>
      <c r="B77" s="39" t="s">
        <v>358</v>
      </c>
      <c r="C77" s="39">
        <v>412</v>
      </c>
    </row>
    <row r="78" spans="1:3" ht="20">
      <c r="A78" s="39" t="s">
        <v>475</v>
      </c>
      <c r="B78" s="39" t="s">
        <v>359</v>
      </c>
      <c r="C78" s="39">
        <v>413</v>
      </c>
    </row>
    <row r="79" spans="1:3" ht="20">
      <c r="A79" s="39" t="s">
        <v>476</v>
      </c>
      <c r="B79" s="39" t="s">
        <v>360</v>
      </c>
      <c r="C79" s="39">
        <v>414</v>
      </c>
    </row>
    <row r="80" spans="1:3" ht="20">
      <c r="A80" s="39" t="s">
        <v>477</v>
      </c>
      <c r="B80" s="39" t="s">
        <v>361</v>
      </c>
      <c r="C80" s="39">
        <v>416</v>
      </c>
    </row>
    <row r="81" spans="1:3" ht="20">
      <c r="A81" s="39" t="s">
        <v>478</v>
      </c>
      <c r="B81" s="39" t="s">
        <v>362</v>
      </c>
      <c r="C81" s="39">
        <v>417</v>
      </c>
    </row>
    <row r="82" spans="1:3" ht="20">
      <c r="A82" s="39" t="s">
        <v>479</v>
      </c>
      <c r="B82" s="39" t="s">
        <v>363</v>
      </c>
      <c r="C82" s="39">
        <v>420</v>
      </c>
    </row>
    <row r="83" spans="1:3" ht="20">
      <c r="A83" s="39" t="s">
        <v>480</v>
      </c>
      <c r="B83" s="39" t="s">
        <v>364</v>
      </c>
      <c r="C83" s="39">
        <v>421</v>
      </c>
    </row>
    <row r="84" spans="1:3" ht="20">
      <c r="A84" s="39" t="s">
        <v>481</v>
      </c>
      <c r="B84" s="39" t="s">
        <v>365</v>
      </c>
      <c r="C84" s="39">
        <v>422</v>
      </c>
    </row>
    <row r="85" spans="1:3" ht="20">
      <c r="A85" s="39" t="s">
        <v>482</v>
      </c>
      <c r="B85" s="39" t="s">
        <v>366</v>
      </c>
      <c r="C85" s="39">
        <v>423</v>
      </c>
    </row>
    <row r="86" spans="1:3" ht="20">
      <c r="A86" s="39" t="s">
        <v>483</v>
      </c>
      <c r="B86" s="39" t="s">
        <v>367</v>
      </c>
      <c r="C86" s="39">
        <v>501</v>
      </c>
    </row>
    <row r="87" spans="1:3" ht="20">
      <c r="A87" s="39" t="s">
        <v>484</v>
      </c>
      <c r="B87" s="39" t="s">
        <v>368</v>
      </c>
      <c r="C87" s="39">
        <v>502</v>
      </c>
    </row>
    <row r="88" spans="1:3" ht="20">
      <c r="A88" s="39" t="s">
        <v>485</v>
      </c>
      <c r="B88" s="39" t="s">
        <v>369</v>
      </c>
      <c r="C88" s="39">
        <v>503</v>
      </c>
    </row>
    <row r="89" spans="1:3" ht="20">
      <c r="A89" s="39" t="s">
        <v>486</v>
      </c>
      <c r="B89" s="39" t="s">
        <v>370</v>
      </c>
      <c r="C89" s="39">
        <v>504</v>
      </c>
    </row>
    <row r="90" spans="1:3" ht="20">
      <c r="A90" s="39" t="s">
        <v>487</v>
      </c>
      <c r="B90" s="39" t="s">
        <v>371</v>
      </c>
      <c r="C90" s="39">
        <v>505</v>
      </c>
    </row>
    <row r="91" spans="1:3" ht="20">
      <c r="A91" s="39" t="s">
        <v>488</v>
      </c>
      <c r="B91" s="39" t="s">
        <v>372</v>
      </c>
      <c r="C91" s="39">
        <v>506</v>
      </c>
    </row>
    <row r="92" spans="1:3" ht="20">
      <c r="A92" s="39" t="s">
        <v>489</v>
      </c>
      <c r="B92" s="39" t="s">
        <v>373</v>
      </c>
      <c r="C92" s="39">
        <v>507</v>
      </c>
    </row>
    <row r="93" spans="1:3" ht="20">
      <c r="A93" s="39" t="s">
        <v>490</v>
      </c>
      <c r="B93" s="39" t="s">
        <v>374</v>
      </c>
      <c r="C93" s="39">
        <v>509</v>
      </c>
    </row>
    <row r="94" spans="1:3" ht="20">
      <c r="A94" s="39" t="s">
        <v>518</v>
      </c>
      <c r="B94" s="39" t="s">
        <v>375</v>
      </c>
      <c r="C94" s="39">
        <v>601</v>
      </c>
    </row>
    <row r="95" spans="1:3" ht="20">
      <c r="A95" s="39" t="s">
        <v>491</v>
      </c>
      <c r="B95" s="39" t="s">
        <v>376</v>
      </c>
      <c r="C95" s="39">
        <v>602</v>
      </c>
    </row>
    <row r="96" spans="1:3" ht="20">
      <c r="A96" s="39" t="s">
        <v>492</v>
      </c>
      <c r="B96" s="39" t="s">
        <v>377</v>
      </c>
      <c r="C96" s="39">
        <v>603</v>
      </c>
    </row>
    <row r="97" spans="1:3" ht="20">
      <c r="A97" s="39" t="s">
        <v>493</v>
      </c>
      <c r="B97" s="39" t="s">
        <v>378</v>
      </c>
      <c r="C97" s="39">
        <v>604</v>
      </c>
    </row>
    <row r="98" spans="1:3" ht="20">
      <c r="A98" s="39" t="s">
        <v>494</v>
      </c>
      <c r="B98" s="39" t="s">
        <v>379</v>
      </c>
      <c r="C98" s="39">
        <v>605</v>
      </c>
    </row>
    <row r="99" spans="1:3" ht="20">
      <c r="A99" s="39" t="s">
        <v>495</v>
      </c>
      <c r="B99" s="39" t="s">
        <v>380</v>
      </c>
      <c r="C99" s="39">
        <v>607</v>
      </c>
    </row>
    <row r="100" spans="1:3" ht="20">
      <c r="A100" s="39" t="s">
        <v>496</v>
      </c>
      <c r="B100" s="39" t="s">
        <v>381</v>
      </c>
      <c r="C100" s="39">
        <v>608</v>
      </c>
    </row>
    <row r="101" spans="1:3" ht="20">
      <c r="A101" s="39" t="s">
        <v>497</v>
      </c>
      <c r="B101" s="39" t="s">
        <v>382</v>
      </c>
      <c r="C101" s="39">
        <v>609</v>
      </c>
    </row>
    <row r="102" spans="1:3" ht="20">
      <c r="A102" s="39" t="s">
        <v>498</v>
      </c>
      <c r="B102" s="39" t="s">
        <v>383</v>
      </c>
      <c r="C102" s="39">
        <v>612</v>
      </c>
    </row>
    <row r="103" spans="1:3" ht="20">
      <c r="A103" s="39" t="s">
        <v>499</v>
      </c>
      <c r="B103" s="39" t="s">
        <v>384</v>
      </c>
      <c r="C103" s="39">
        <v>613</v>
      </c>
    </row>
    <row r="104" spans="1:3" ht="20">
      <c r="A104" s="39" t="s">
        <v>500</v>
      </c>
      <c r="B104" s="39" t="s">
        <v>385</v>
      </c>
      <c r="C104" s="39">
        <v>614</v>
      </c>
    </row>
    <row r="105" spans="1:3" ht="20">
      <c r="A105" s="39" t="s">
        <v>501</v>
      </c>
      <c r="B105" s="39" t="s">
        <v>386</v>
      </c>
      <c r="C105" s="39">
        <v>616</v>
      </c>
    </row>
    <row r="106" spans="1:3" ht="20">
      <c r="A106" s="39" t="s">
        <v>502</v>
      </c>
      <c r="B106" s="39" t="s">
        <v>387</v>
      </c>
      <c r="C106" s="39">
        <v>617</v>
      </c>
    </row>
    <row r="107" spans="1:3" ht="20">
      <c r="A107" s="39" t="s">
        <v>503</v>
      </c>
      <c r="B107" s="39" t="s">
        <v>388</v>
      </c>
      <c r="C107" s="39">
        <v>701</v>
      </c>
    </row>
    <row r="108" spans="1:3" ht="20">
      <c r="A108" s="39" t="s">
        <v>504</v>
      </c>
      <c r="B108" s="39" t="s">
        <v>389</v>
      </c>
      <c r="C108" s="39">
        <v>702</v>
      </c>
    </row>
    <row r="109" spans="1:3" ht="20">
      <c r="A109" s="39" t="s">
        <v>505</v>
      </c>
      <c r="B109" s="39" t="s">
        <v>390</v>
      </c>
      <c r="C109" s="39">
        <v>703</v>
      </c>
    </row>
    <row r="110" spans="1:3" ht="20">
      <c r="A110" s="39" t="s">
        <v>506</v>
      </c>
      <c r="B110" s="39" t="s">
        <v>391</v>
      </c>
      <c r="C110" s="39">
        <v>704</v>
      </c>
    </row>
    <row r="111" spans="1:3" ht="20">
      <c r="A111" s="39" t="s">
        <v>507</v>
      </c>
      <c r="B111" s="39" t="s">
        <v>392</v>
      </c>
      <c r="C111" s="39">
        <v>705</v>
      </c>
    </row>
    <row r="112" spans="1:3" ht="20">
      <c r="A112" s="39" t="s">
        <v>508</v>
      </c>
      <c r="B112" s="39" t="s">
        <v>393</v>
      </c>
      <c r="C112" s="39">
        <v>706</v>
      </c>
    </row>
    <row r="113" spans="1:3" ht="20">
      <c r="A113" s="39" t="s">
        <v>509</v>
      </c>
      <c r="B113" s="39" t="s">
        <v>394</v>
      </c>
      <c r="C113" s="39">
        <v>707</v>
      </c>
    </row>
    <row r="114" spans="1:3" ht="20">
      <c r="A114" s="39" t="s">
        <v>510</v>
      </c>
      <c r="B114" s="39" t="s">
        <v>395</v>
      </c>
      <c r="C114" s="39">
        <v>708</v>
      </c>
    </row>
    <row r="115" spans="1:3" ht="20">
      <c r="A115" s="39" t="s">
        <v>511</v>
      </c>
      <c r="B115" s="39" t="s">
        <v>396</v>
      </c>
      <c r="C115" s="39">
        <v>710</v>
      </c>
    </row>
    <row r="116" spans="1:3" ht="20">
      <c r="A116" s="39" t="s">
        <v>512</v>
      </c>
      <c r="B116" s="39" t="s">
        <v>397</v>
      </c>
      <c r="C116" s="39">
        <v>711</v>
      </c>
    </row>
    <row r="117" spans="1:3" ht="20">
      <c r="A117" s="39" t="s">
        <v>513</v>
      </c>
      <c r="B117" s="39" t="s">
        <v>398</v>
      </c>
      <c r="C117" s="39">
        <v>712</v>
      </c>
    </row>
    <row r="118" spans="1:3" ht="20">
      <c r="A118" s="39" t="s">
        <v>514</v>
      </c>
      <c r="B118" s="39" t="s">
        <v>399</v>
      </c>
      <c r="C118" s="39">
        <v>713</v>
      </c>
    </row>
    <row r="119" spans="1:3" ht="20">
      <c r="A119" s="39" t="s">
        <v>515</v>
      </c>
      <c r="B119" s="39" t="s">
        <v>400</v>
      </c>
      <c r="C119" s="39">
        <v>730</v>
      </c>
    </row>
  </sheetData>
  <phoneticPr fontId="2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40AE-4F0B-4593-A21C-8A61B90F8822}">
  <sheetPr codeName="Sheet6"/>
  <dimension ref="A1:B38"/>
  <sheetViews>
    <sheetView workbookViewId="0">
      <selection activeCell="G8" sqref="G8"/>
    </sheetView>
  </sheetViews>
  <sheetFormatPr baseColWidth="10" defaultColWidth="8.83203125" defaultRowHeight="15"/>
  <cols>
    <col min="1" max="1" width="17.6640625" customWidth="1"/>
  </cols>
  <sheetData>
    <row r="1" spans="1:2" ht="19">
      <c r="A1" s="40" t="s">
        <v>516</v>
      </c>
      <c r="B1" s="40">
        <v>1</v>
      </c>
    </row>
    <row r="2" spans="1:2" ht="19">
      <c r="A2" s="40" t="s">
        <v>519</v>
      </c>
      <c r="B2" s="40">
        <v>2</v>
      </c>
    </row>
    <row r="3" spans="1:2" ht="19">
      <c r="A3" s="40" t="s">
        <v>469</v>
      </c>
      <c r="B3" s="40">
        <v>3</v>
      </c>
    </row>
    <row r="4" spans="1:2" ht="19">
      <c r="A4" s="40" t="s">
        <v>520</v>
      </c>
      <c r="B4" s="40">
        <v>10</v>
      </c>
    </row>
    <row r="5" spans="1:2" ht="19">
      <c r="A5" s="40" t="s">
        <v>521</v>
      </c>
      <c r="B5" s="40">
        <v>11</v>
      </c>
    </row>
    <row r="6" spans="1:2" ht="19">
      <c r="A6" s="40" t="s">
        <v>468</v>
      </c>
      <c r="B6" s="40">
        <v>13</v>
      </c>
    </row>
    <row r="7" spans="1:2" ht="19">
      <c r="A7" s="40" t="s">
        <v>522</v>
      </c>
      <c r="B7" s="40">
        <v>17</v>
      </c>
    </row>
    <row r="8" spans="1:2" ht="19">
      <c r="A8" s="40" t="s">
        <v>523</v>
      </c>
      <c r="B8" s="40">
        <v>18</v>
      </c>
    </row>
    <row r="9" spans="1:2" ht="19">
      <c r="A9" s="40" t="s">
        <v>524</v>
      </c>
      <c r="B9" s="40">
        <v>21</v>
      </c>
    </row>
    <row r="10" spans="1:2" ht="19">
      <c r="A10" s="40" t="s">
        <v>525</v>
      </c>
      <c r="B10" s="40">
        <v>23</v>
      </c>
    </row>
    <row r="11" spans="1:2" ht="19">
      <c r="A11" s="40" t="s">
        <v>526</v>
      </c>
      <c r="B11" s="40">
        <v>44</v>
      </c>
    </row>
    <row r="12" spans="1:2" ht="19">
      <c r="A12" s="40" t="s">
        <v>479</v>
      </c>
      <c r="B12" s="40">
        <v>45</v>
      </c>
    </row>
    <row r="13" spans="1:2" ht="19">
      <c r="A13" s="40" t="s">
        <v>527</v>
      </c>
      <c r="B13" s="40">
        <v>46</v>
      </c>
    </row>
    <row r="14" spans="1:2" ht="19">
      <c r="A14" s="40" t="s">
        <v>528</v>
      </c>
      <c r="B14" s="40">
        <v>47</v>
      </c>
    </row>
    <row r="15" spans="1:2" ht="19">
      <c r="A15" s="40" t="s">
        <v>529</v>
      </c>
      <c r="B15" s="40">
        <v>48</v>
      </c>
    </row>
    <row r="16" spans="1:2" ht="19">
      <c r="A16" s="40" t="s">
        <v>530</v>
      </c>
      <c r="B16" s="40">
        <v>49</v>
      </c>
    </row>
    <row r="17" spans="1:2" ht="19">
      <c r="A17" s="40" t="s">
        <v>531</v>
      </c>
      <c r="B17" s="40">
        <v>50</v>
      </c>
    </row>
    <row r="18" spans="1:2" ht="19">
      <c r="A18" s="40" t="s">
        <v>532</v>
      </c>
      <c r="B18" s="40">
        <v>51</v>
      </c>
    </row>
    <row r="19" spans="1:2" ht="19">
      <c r="A19" s="40" t="s">
        <v>473</v>
      </c>
      <c r="B19" s="40">
        <v>52</v>
      </c>
    </row>
    <row r="20" spans="1:2" ht="19">
      <c r="A20" s="40" t="s">
        <v>533</v>
      </c>
      <c r="B20" s="40">
        <v>53</v>
      </c>
    </row>
    <row r="21" spans="1:2" ht="19">
      <c r="A21" s="40" t="s">
        <v>534</v>
      </c>
      <c r="B21" s="40">
        <v>54</v>
      </c>
    </row>
    <row r="22" spans="1:2" ht="19">
      <c r="A22" s="40" t="s">
        <v>535</v>
      </c>
      <c r="B22" s="40">
        <v>55</v>
      </c>
    </row>
    <row r="23" spans="1:2" ht="19">
      <c r="A23" s="40" t="s">
        <v>536</v>
      </c>
      <c r="B23" s="40">
        <v>56</v>
      </c>
    </row>
    <row r="24" spans="1:2" ht="19">
      <c r="A24" s="40" t="s">
        <v>475</v>
      </c>
      <c r="B24" s="40">
        <v>57</v>
      </c>
    </row>
    <row r="25" spans="1:2" ht="19">
      <c r="A25" s="40" t="s">
        <v>537</v>
      </c>
      <c r="B25" s="40">
        <v>58</v>
      </c>
    </row>
    <row r="26" spans="1:2" ht="19">
      <c r="A26" s="40" t="s">
        <v>470</v>
      </c>
      <c r="B26" s="40">
        <v>59</v>
      </c>
    </row>
    <row r="27" spans="1:2" ht="19">
      <c r="A27" s="40" t="s">
        <v>538</v>
      </c>
      <c r="B27" s="40">
        <v>60</v>
      </c>
    </row>
    <row r="28" spans="1:2" ht="19">
      <c r="A28" s="40" t="s">
        <v>539</v>
      </c>
      <c r="B28" s="40">
        <v>61</v>
      </c>
    </row>
    <row r="29" spans="1:2" ht="19">
      <c r="A29" s="40" t="s">
        <v>540</v>
      </c>
      <c r="B29" s="40">
        <v>62</v>
      </c>
    </row>
    <row r="30" spans="1:2" ht="19">
      <c r="A30" s="40" t="s">
        <v>541</v>
      </c>
      <c r="B30" s="40">
        <v>63</v>
      </c>
    </row>
    <row r="31" spans="1:2" ht="19">
      <c r="A31" s="40" t="s">
        <v>542</v>
      </c>
      <c r="B31" s="40">
        <v>64</v>
      </c>
    </row>
    <row r="32" spans="1:2" ht="19">
      <c r="A32" s="40" t="s">
        <v>543</v>
      </c>
      <c r="B32" s="40">
        <v>65</v>
      </c>
    </row>
    <row r="33" spans="1:2" ht="19">
      <c r="A33" s="40" t="s">
        <v>544</v>
      </c>
      <c r="B33" s="40">
        <v>66</v>
      </c>
    </row>
    <row r="34" spans="1:2" ht="19">
      <c r="A34" s="40" t="s">
        <v>471</v>
      </c>
      <c r="B34" s="40">
        <v>67</v>
      </c>
    </row>
    <row r="35" spans="1:2" ht="19">
      <c r="A35" s="40" t="s">
        <v>545</v>
      </c>
      <c r="B35" s="40">
        <v>68</v>
      </c>
    </row>
    <row r="36" spans="1:2" ht="19">
      <c r="A36" s="40" t="s">
        <v>546</v>
      </c>
      <c r="B36" s="40">
        <v>69</v>
      </c>
    </row>
    <row r="37" spans="1:2" ht="19">
      <c r="A37" s="40" t="s">
        <v>547</v>
      </c>
      <c r="B37" s="40">
        <v>70</v>
      </c>
    </row>
    <row r="38" spans="1:2" ht="19">
      <c r="A38" s="40" t="s">
        <v>548</v>
      </c>
      <c r="B38" s="40">
        <v>71</v>
      </c>
    </row>
  </sheetData>
  <phoneticPr fontId="2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H89"/>
  <sheetViews>
    <sheetView topLeftCell="A73" workbookViewId="0">
      <selection activeCell="C82" sqref="C82"/>
    </sheetView>
  </sheetViews>
  <sheetFormatPr baseColWidth="10" defaultColWidth="8.83203125" defaultRowHeight="15"/>
  <cols>
    <col min="1" max="1" width="14.6640625" customWidth="1"/>
    <col min="2" max="2" width="9" customWidth="1"/>
    <col min="3" max="5" width="9"/>
    <col min="6" max="6" width="10.1640625" customWidth="1"/>
    <col min="7" max="7" width="9"/>
  </cols>
  <sheetData>
    <row r="2" spans="1:8">
      <c r="A2" t="str">
        <f>CONCATENATE(B2," ",C2)</f>
        <v>福島 キビ子</v>
      </c>
      <c r="B2" t="s">
        <v>137</v>
      </c>
      <c r="C2" t="s">
        <v>138</v>
      </c>
      <c r="D2" t="s">
        <v>123</v>
      </c>
      <c r="E2" t="s">
        <v>116</v>
      </c>
      <c r="F2" ph="1"/>
      <c r="G2" ph="1"/>
      <c r="H2">
        <f ca="1">RANDBETWEEN(555,9999999)</f>
        <v>9446016</v>
      </c>
    </row>
    <row r="3" spans="1:8">
      <c r="A3" t="str">
        <f t="shared" ref="A3:A66" si="0">CONCATENATE(B3," ",C3)</f>
        <v>白岩 福島子</v>
      </c>
      <c r="B3" t="s">
        <v>124</v>
      </c>
      <c r="C3" t="s">
        <v>129</v>
      </c>
      <c r="D3" t="s">
        <v>117</v>
      </c>
      <c r="F3" ph="1"/>
      <c r="G3" ph="1"/>
      <c r="H3">
        <f t="shared" ref="H3:H66" ca="1" si="1">RANDBETWEEN(555,9999999)</f>
        <v>8947082</v>
      </c>
    </row>
    <row r="4" spans="1:8">
      <c r="A4" t="str">
        <f t="shared" si="0"/>
        <v>国 キビ</v>
      </c>
      <c r="B4" t="s">
        <v>133</v>
      </c>
      <c r="C4" t="s">
        <v>117</v>
      </c>
      <c r="D4" t="s">
        <v>129</v>
      </c>
      <c r="E4" t="s">
        <v>118</v>
      </c>
      <c r="F4" ph="1"/>
      <c r="G4" ph="1"/>
      <c r="H4">
        <f t="shared" ca="1" si="1"/>
        <v>2875042</v>
      </c>
    </row>
    <row r="5" spans="1:8">
      <c r="A5" t="str">
        <f t="shared" si="0"/>
        <v>会津 タン</v>
      </c>
      <c r="B5" t="s">
        <v>119</v>
      </c>
      <c r="C5" t="s">
        <v>120</v>
      </c>
      <c r="D5" t="s">
        <v>121</v>
      </c>
      <c r="E5" t="s">
        <v>123</v>
      </c>
      <c r="F5" ph="1"/>
      <c r="G5" ph="1"/>
      <c r="H5">
        <f t="shared" ca="1" si="1"/>
        <v>8412344</v>
      </c>
    </row>
    <row r="6" spans="1:8">
      <c r="A6" t="str">
        <f t="shared" si="0"/>
        <v>喜多方 キビ</v>
      </c>
      <c r="B6" t="s">
        <v>128</v>
      </c>
      <c r="C6" t="s">
        <v>117</v>
      </c>
      <c r="D6" t="s">
        <v>123</v>
      </c>
      <c r="E6" t="s">
        <v>118</v>
      </c>
      <c r="F6" ph="1"/>
      <c r="G6" ph="1"/>
      <c r="H6">
        <f t="shared" ca="1" si="1"/>
        <v>758720</v>
      </c>
    </row>
    <row r="7" spans="1:8">
      <c r="A7" t="str">
        <f t="shared" si="0"/>
        <v>若松 キビ</v>
      </c>
      <c r="B7" t="s">
        <v>122</v>
      </c>
      <c r="C7" t="s">
        <v>117</v>
      </c>
      <c r="D7" t="s">
        <v>134</v>
      </c>
      <c r="E7" t="s">
        <v>123</v>
      </c>
      <c r="F7" ph="1"/>
      <c r="G7" ph="1"/>
      <c r="H7">
        <f t="shared" ca="1" si="1"/>
        <v>8867054</v>
      </c>
    </row>
    <row r="8" spans="1:8">
      <c r="A8" t="str">
        <f t="shared" si="0"/>
        <v>白岩 花子</v>
      </c>
      <c r="B8" t="s">
        <v>124</v>
      </c>
      <c r="C8" t="s">
        <v>116</v>
      </c>
      <c r="D8" t="s">
        <v>121</v>
      </c>
      <c r="E8" t="s">
        <v>135</v>
      </c>
      <c r="F8" ph="1"/>
      <c r="G8" ph="1"/>
      <c r="H8">
        <f t="shared" ca="1" si="1"/>
        <v>9433448</v>
      </c>
    </row>
    <row r="9" spans="1:8">
      <c r="A9" t="str">
        <f t="shared" si="0"/>
        <v>佐々木 タン</v>
      </c>
      <c r="B9" t="s">
        <v>125</v>
      </c>
      <c r="C9" t="s">
        <v>136</v>
      </c>
      <c r="D9" t="s">
        <v>126</v>
      </c>
      <c r="E9" t="s">
        <v>117</v>
      </c>
      <c r="F9" ph="1"/>
      <c r="G9" ph="1"/>
      <c r="H9">
        <f t="shared" ca="1" si="1"/>
        <v>297028</v>
      </c>
    </row>
    <row r="10" spans="1:8">
      <c r="A10" t="str">
        <f t="shared" si="0"/>
        <v>坂下 仁志</v>
      </c>
      <c r="B10" t="s">
        <v>127</v>
      </c>
      <c r="C10" t="s">
        <v>126</v>
      </c>
      <c r="D10" t="s">
        <v>116</v>
      </c>
      <c r="E10" t="s">
        <v>121</v>
      </c>
      <c r="H10">
        <f t="shared" ca="1" si="1"/>
        <v>6303610</v>
      </c>
    </row>
    <row r="11" spans="1:8">
      <c r="A11" t="str">
        <f t="shared" si="0"/>
        <v>若松 タン</v>
      </c>
      <c r="B11" t="s">
        <v>122</v>
      </c>
      <c r="C11" t="s">
        <v>120</v>
      </c>
      <c r="D11" t="s">
        <v>116</v>
      </c>
      <c r="H11">
        <f t="shared" ca="1" si="1"/>
        <v>9027455</v>
      </c>
    </row>
    <row r="12" spans="1:8">
      <c r="A12" t="str">
        <f t="shared" si="0"/>
        <v>坂下 佑太</v>
      </c>
      <c r="B12" t="s">
        <v>127</v>
      </c>
      <c r="C12" t="s">
        <v>118</v>
      </c>
      <c r="D12" t="s">
        <v>123</v>
      </c>
      <c r="E12" t="s">
        <v>120</v>
      </c>
      <c r="H12">
        <f t="shared" ca="1" si="1"/>
        <v>23711</v>
      </c>
    </row>
    <row r="13" spans="1:8">
      <c r="A13" t="str">
        <f t="shared" si="0"/>
        <v>喜多方 仁志</v>
      </c>
      <c r="B13" t="s">
        <v>128</v>
      </c>
      <c r="C13" t="s">
        <v>126</v>
      </c>
      <c r="D13" t="s">
        <v>118</v>
      </c>
      <c r="E13" t="s">
        <v>116</v>
      </c>
      <c r="H13">
        <f t="shared" ca="1" si="1"/>
        <v>5505680</v>
      </c>
    </row>
    <row r="14" spans="1:8">
      <c r="A14" t="str">
        <f t="shared" si="0"/>
        <v>福島 佑太</v>
      </c>
      <c r="B14" t="s">
        <v>114</v>
      </c>
      <c r="C14" t="s">
        <v>118</v>
      </c>
      <c r="D14" t="s">
        <v>126</v>
      </c>
      <c r="E14" t="s">
        <v>126</v>
      </c>
      <c r="H14">
        <f t="shared" ca="1" si="1"/>
        <v>5320329</v>
      </c>
    </row>
    <row r="15" spans="1:8">
      <c r="A15" t="str">
        <f t="shared" si="0"/>
        <v>喜多方 太郎</v>
      </c>
      <c r="B15" t="s">
        <v>128</v>
      </c>
      <c r="C15" t="s">
        <v>123</v>
      </c>
      <c r="D15" t="s">
        <v>123</v>
      </c>
      <c r="E15" t="s">
        <v>129</v>
      </c>
      <c r="H15">
        <f t="shared" ca="1" si="1"/>
        <v>8186217</v>
      </c>
    </row>
    <row r="16" spans="1:8">
      <c r="A16" t="str">
        <f t="shared" si="0"/>
        <v>福島 佑太</v>
      </c>
      <c r="B16" t="s">
        <v>114</v>
      </c>
      <c r="C16" t="s">
        <v>118</v>
      </c>
      <c r="D16" t="s">
        <v>116</v>
      </c>
      <c r="E16" t="s">
        <v>126</v>
      </c>
      <c r="H16">
        <f t="shared" ca="1" si="1"/>
        <v>5461893</v>
      </c>
    </row>
    <row r="17" spans="1:8">
      <c r="A17" t="str">
        <f t="shared" si="0"/>
        <v>喜多方 佑太</v>
      </c>
      <c r="B17" t="s">
        <v>128</v>
      </c>
      <c r="C17" t="s">
        <v>118</v>
      </c>
      <c r="D17" t="s">
        <v>126</v>
      </c>
      <c r="E17" t="s">
        <v>117</v>
      </c>
      <c r="H17">
        <f t="shared" ca="1" si="1"/>
        <v>3049330</v>
      </c>
    </row>
    <row r="18" spans="1:8">
      <c r="A18" t="str">
        <f t="shared" si="0"/>
        <v>喜多方 一</v>
      </c>
      <c r="B18" t="s">
        <v>128</v>
      </c>
      <c r="C18" t="s">
        <v>130</v>
      </c>
      <c r="D18" t="s">
        <v>120</v>
      </c>
      <c r="E18" t="s">
        <v>126</v>
      </c>
      <c r="H18">
        <f t="shared" ca="1" si="1"/>
        <v>3095360</v>
      </c>
    </row>
    <row r="19" spans="1:8">
      <c r="A19" t="str">
        <f t="shared" si="0"/>
        <v>白岩 キビ</v>
      </c>
      <c r="B19" t="s">
        <v>124</v>
      </c>
      <c r="C19" t="s">
        <v>117</v>
      </c>
      <c r="D19" t="s">
        <v>117</v>
      </c>
      <c r="E19" t="s">
        <v>121</v>
      </c>
      <c r="H19">
        <f t="shared" ca="1" si="1"/>
        <v>9860693</v>
      </c>
    </row>
    <row r="20" spans="1:8">
      <c r="A20" t="str">
        <f t="shared" si="0"/>
        <v>白岩 太郎</v>
      </c>
      <c r="B20" t="s">
        <v>124</v>
      </c>
      <c r="C20" t="s">
        <v>123</v>
      </c>
      <c r="D20" t="s">
        <v>123</v>
      </c>
      <c r="E20" t="s">
        <v>116</v>
      </c>
      <c r="H20">
        <f t="shared" ca="1" si="1"/>
        <v>5054986</v>
      </c>
    </row>
    <row r="21" spans="1:8">
      <c r="A21" t="str">
        <f t="shared" si="0"/>
        <v>五十嵐 仁志</v>
      </c>
      <c r="B21" t="s">
        <v>131</v>
      </c>
      <c r="C21" t="s">
        <v>126</v>
      </c>
      <c r="D21" t="s">
        <v>118</v>
      </c>
      <c r="E21" t="s">
        <v>116</v>
      </c>
      <c r="H21">
        <f t="shared" ca="1" si="1"/>
        <v>7571834</v>
      </c>
    </row>
    <row r="22" spans="1:8">
      <c r="A22" t="str">
        <f t="shared" si="0"/>
        <v>佐々木 タン</v>
      </c>
      <c r="B22" t="s">
        <v>125</v>
      </c>
      <c r="C22" t="s">
        <v>120</v>
      </c>
      <c r="D22" t="s">
        <v>115</v>
      </c>
      <c r="E22" t="s">
        <v>116</v>
      </c>
      <c r="H22">
        <f t="shared" ca="1" si="1"/>
        <v>8997607</v>
      </c>
    </row>
    <row r="23" spans="1:8">
      <c r="A23" t="str">
        <f t="shared" si="0"/>
        <v>白岩 花子</v>
      </c>
      <c r="B23" t="s">
        <v>124</v>
      </c>
      <c r="C23" t="s">
        <v>116</v>
      </c>
      <c r="D23" t="s">
        <v>115</v>
      </c>
      <c r="E23" t="s">
        <v>115</v>
      </c>
      <c r="H23">
        <f t="shared" ca="1" si="1"/>
        <v>3093260</v>
      </c>
    </row>
    <row r="24" spans="1:8">
      <c r="A24" t="str">
        <f t="shared" si="0"/>
        <v>佐々木 花子</v>
      </c>
      <c r="B24" t="s">
        <v>125</v>
      </c>
      <c r="C24" t="s">
        <v>116</v>
      </c>
      <c r="D24" t="s">
        <v>115</v>
      </c>
      <c r="E24" t="s">
        <v>130</v>
      </c>
      <c r="H24">
        <f t="shared" ca="1" si="1"/>
        <v>4182541</v>
      </c>
    </row>
    <row r="25" spans="1:8">
      <c r="A25" t="str">
        <f t="shared" si="0"/>
        <v>会津 佑太</v>
      </c>
      <c r="B25" t="s">
        <v>119</v>
      </c>
      <c r="C25" t="s">
        <v>118</v>
      </c>
      <c r="D25" t="s">
        <v>121</v>
      </c>
      <c r="E25" t="s">
        <v>126</v>
      </c>
      <c r="H25">
        <f t="shared" ca="1" si="1"/>
        <v>8451182</v>
      </c>
    </row>
    <row r="26" spans="1:8">
      <c r="A26" t="str">
        <f t="shared" si="0"/>
        <v>佐々木 仁志</v>
      </c>
      <c r="B26" t="s">
        <v>125</v>
      </c>
      <c r="C26" t="s">
        <v>126</v>
      </c>
      <c r="D26" t="s">
        <v>116</v>
      </c>
      <c r="E26" t="s">
        <v>123</v>
      </c>
      <c r="H26">
        <f t="shared" ca="1" si="1"/>
        <v>9584152</v>
      </c>
    </row>
    <row r="27" spans="1:8">
      <c r="A27" t="str">
        <f t="shared" si="0"/>
        <v>佐々木 キビ子</v>
      </c>
      <c r="B27" t="s">
        <v>125</v>
      </c>
      <c r="C27" t="s">
        <v>115</v>
      </c>
      <c r="D27" t="s">
        <v>126</v>
      </c>
      <c r="E27" t="s">
        <v>121</v>
      </c>
      <c r="H27">
        <f t="shared" ca="1" si="1"/>
        <v>2363512</v>
      </c>
    </row>
    <row r="28" spans="1:8">
      <c r="A28" t="str">
        <f t="shared" si="0"/>
        <v>五十嵐 太郎</v>
      </c>
      <c r="B28" t="s">
        <v>131</v>
      </c>
      <c r="C28" t="s">
        <v>123</v>
      </c>
      <c r="D28" t="s">
        <v>116</v>
      </c>
      <c r="E28" t="s">
        <v>118</v>
      </c>
      <c r="H28">
        <f t="shared" ca="1" si="1"/>
        <v>9276887</v>
      </c>
    </row>
    <row r="29" spans="1:8">
      <c r="A29" t="str">
        <f t="shared" si="0"/>
        <v>福島 一</v>
      </c>
      <c r="B29" t="s">
        <v>114</v>
      </c>
      <c r="C29" t="s">
        <v>130</v>
      </c>
      <c r="D29" t="s">
        <v>126</v>
      </c>
      <c r="E29" t="s">
        <v>130</v>
      </c>
      <c r="H29">
        <f t="shared" ca="1" si="1"/>
        <v>6213914</v>
      </c>
    </row>
    <row r="30" spans="1:8">
      <c r="A30" t="str">
        <f t="shared" si="0"/>
        <v>白岩 太郎</v>
      </c>
      <c r="B30" t="s">
        <v>124</v>
      </c>
      <c r="C30" t="s">
        <v>123</v>
      </c>
      <c r="D30" t="s">
        <v>129</v>
      </c>
      <c r="E30" t="s">
        <v>115</v>
      </c>
      <c r="H30">
        <f t="shared" ca="1" si="1"/>
        <v>3679492</v>
      </c>
    </row>
    <row r="31" spans="1:8">
      <c r="A31" t="str">
        <f t="shared" si="0"/>
        <v>坂下 タン</v>
      </c>
      <c r="B31" t="s">
        <v>127</v>
      </c>
      <c r="C31" t="s">
        <v>120</v>
      </c>
      <c r="D31" t="s">
        <v>121</v>
      </c>
      <c r="E31" t="s">
        <v>126</v>
      </c>
      <c r="H31">
        <f t="shared" ca="1" si="1"/>
        <v>8730045</v>
      </c>
    </row>
    <row r="32" spans="1:8">
      <c r="A32" t="str">
        <f t="shared" si="0"/>
        <v>湯川 佑太</v>
      </c>
      <c r="B32" t="s">
        <v>132</v>
      </c>
      <c r="C32" t="s">
        <v>118</v>
      </c>
      <c r="D32" t="s">
        <v>115</v>
      </c>
      <c r="E32" t="s">
        <v>126</v>
      </c>
      <c r="H32">
        <f t="shared" ca="1" si="1"/>
        <v>4046162</v>
      </c>
    </row>
    <row r="33" spans="1:8">
      <c r="A33" t="str">
        <f t="shared" si="0"/>
        <v>国 タン</v>
      </c>
      <c r="B33" t="s">
        <v>133</v>
      </c>
      <c r="C33" t="s">
        <v>120</v>
      </c>
      <c r="D33" t="s">
        <v>120</v>
      </c>
      <c r="E33" t="s">
        <v>117</v>
      </c>
      <c r="H33">
        <f t="shared" ca="1" si="1"/>
        <v>2547833</v>
      </c>
    </row>
    <row r="34" spans="1:8">
      <c r="A34" t="str">
        <f t="shared" si="0"/>
        <v>若松 太郎</v>
      </c>
      <c r="B34" t="s">
        <v>122</v>
      </c>
      <c r="C34" t="s">
        <v>123</v>
      </c>
      <c r="D34" t="s">
        <v>126</v>
      </c>
      <c r="E34" t="s">
        <v>118</v>
      </c>
      <c r="H34">
        <f t="shared" ca="1" si="1"/>
        <v>1815168</v>
      </c>
    </row>
    <row r="35" spans="1:8">
      <c r="A35" t="str">
        <f t="shared" si="0"/>
        <v>若松 仁志</v>
      </c>
      <c r="B35" t="s">
        <v>122</v>
      </c>
      <c r="C35" t="s">
        <v>126</v>
      </c>
      <c r="D35" t="s">
        <v>116</v>
      </c>
      <c r="E35" t="s">
        <v>129</v>
      </c>
      <c r="H35">
        <f t="shared" ca="1" si="1"/>
        <v>7991806</v>
      </c>
    </row>
    <row r="36" spans="1:8">
      <c r="A36" t="str">
        <f t="shared" si="0"/>
        <v>若松 三太夫</v>
      </c>
      <c r="B36" t="s">
        <v>122</v>
      </c>
      <c r="C36" t="s">
        <v>121</v>
      </c>
      <c r="D36" t="s">
        <v>116</v>
      </c>
      <c r="E36" t="s">
        <v>120</v>
      </c>
      <c r="H36">
        <f t="shared" ca="1" si="1"/>
        <v>9763079</v>
      </c>
    </row>
    <row r="37" spans="1:8">
      <c r="A37" t="str">
        <f t="shared" si="0"/>
        <v>福島 タン</v>
      </c>
      <c r="B37" t="s">
        <v>114</v>
      </c>
      <c r="C37" t="s">
        <v>120</v>
      </c>
      <c r="D37" t="s">
        <v>116</v>
      </c>
      <c r="E37" t="s">
        <v>126</v>
      </c>
      <c r="H37">
        <f t="shared" ca="1" si="1"/>
        <v>6709364</v>
      </c>
    </row>
    <row r="38" spans="1:8">
      <c r="A38" t="str">
        <f t="shared" si="0"/>
        <v>佐々木 三太夫</v>
      </c>
      <c r="B38" t="s">
        <v>125</v>
      </c>
      <c r="C38" t="s">
        <v>121</v>
      </c>
      <c r="D38" t="s">
        <v>123</v>
      </c>
      <c r="E38" t="s">
        <v>121</v>
      </c>
      <c r="H38">
        <f t="shared" ca="1" si="1"/>
        <v>726358</v>
      </c>
    </row>
    <row r="39" spans="1:8">
      <c r="A39" t="str">
        <f t="shared" si="0"/>
        <v>国 花子</v>
      </c>
      <c r="B39" t="s">
        <v>133</v>
      </c>
      <c r="C39" t="s">
        <v>116</v>
      </c>
      <c r="D39" t="s">
        <v>120</v>
      </c>
      <c r="E39" t="s">
        <v>123</v>
      </c>
      <c r="H39">
        <f t="shared" ca="1" si="1"/>
        <v>4886073</v>
      </c>
    </row>
    <row r="40" spans="1:8">
      <c r="A40" t="str">
        <f t="shared" si="0"/>
        <v>若松 キビ</v>
      </c>
      <c r="B40" t="s">
        <v>122</v>
      </c>
      <c r="C40" t="s">
        <v>117</v>
      </c>
      <c r="D40" t="s">
        <v>117</v>
      </c>
      <c r="E40" t="s">
        <v>120</v>
      </c>
      <c r="H40">
        <f t="shared" ca="1" si="1"/>
        <v>1213361</v>
      </c>
    </row>
    <row r="41" spans="1:8">
      <c r="A41" t="str">
        <f t="shared" si="0"/>
        <v>佐々木 キビ子</v>
      </c>
      <c r="B41" t="s">
        <v>125</v>
      </c>
      <c r="C41" t="s">
        <v>115</v>
      </c>
      <c r="D41" t="s">
        <v>121</v>
      </c>
      <c r="E41" t="s">
        <v>116</v>
      </c>
      <c r="H41">
        <f t="shared" ca="1" si="1"/>
        <v>4762243</v>
      </c>
    </row>
    <row r="42" spans="1:8">
      <c r="A42" t="str">
        <f t="shared" si="0"/>
        <v>若松 キビ</v>
      </c>
      <c r="B42" t="s">
        <v>122</v>
      </c>
      <c r="C42" t="s">
        <v>117</v>
      </c>
      <c r="D42" t="s">
        <v>118</v>
      </c>
      <c r="E42" t="s">
        <v>117</v>
      </c>
      <c r="H42">
        <f t="shared" ca="1" si="1"/>
        <v>2730410</v>
      </c>
    </row>
    <row r="43" spans="1:8">
      <c r="A43" t="str">
        <f t="shared" si="0"/>
        <v>湯川 太郎</v>
      </c>
      <c r="B43" t="s">
        <v>132</v>
      </c>
      <c r="C43" t="s">
        <v>123</v>
      </c>
      <c r="D43" t="s">
        <v>115</v>
      </c>
      <c r="E43" t="s">
        <v>121</v>
      </c>
      <c r="H43">
        <f t="shared" ca="1" si="1"/>
        <v>8604201</v>
      </c>
    </row>
    <row r="44" spans="1:8">
      <c r="A44" t="str">
        <f t="shared" si="0"/>
        <v>福島 花子</v>
      </c>
      <c r="B44" t="s">
        <v>114</v>
      </c>
      <c r="C44" t="s">
        <v>116</v>
      </c>
      <c r="D44" t="s">
        <v>130</v>
      </c>
      <c r="E44" t="s">
        <v>115</v>
      </c>
      <c r="H44">
        <f t="shared" ca="1" si="1"/>
        <v>3281529</v>
      </c>
    </row>
    <row r="45" spans="1:8">
      <c r="A45" t="str">
        <f t="shared" si="0"/>
        <v>白岩 三太夫</v>
      </c>
      <c r="B45" t="s">
        <v>124</v>
      </c>
      <c r="C45" t="s">
        <v>121</v>
      </c>
      <c r="D45" t="s">
        <v>115</v>
      </c>
      <c r="E45" t="s">
        <v>129</v>
      </c>
      <c r="H45">
        <f t="shared" ca="1" si="1"/>
        <v>8443891</v>
      </c>
    </row>
    <row r="46" spans="1:8">
      <c r="A46" t="str">
        <f t="shared" si="0"/>
        <v>若松 花子</v>
      </c>
      <c r="B46" t="s">
        <v>122</v>
      </c>
      <c r="C46" t="s">
        <v>116</v>
      </c>
      <c r="D46" t="s">
        <v>118</v>
      </c>
      <c r="E46" t="s">
        <v>115</v>
      </c>
      <c r="H46">
        <f t="shared" ca="1" si="1"/>
        <v>7139119</v>
      </c>
    </row>
    <row r="47" spans="1:8">
      <c r="A47" t="str">
        <f t="shared" si="0"/>
        <v>湯川 タン</v>
      </c>
      <c r="B47" t="s">
        <v>132</v>
      </c>
      <c r="C47" t="s">
        <v>120</v>
      </c>
      <c r="D47" t="s">
        <v>120</v>
      </c>
      <c r="E47" t="s">
        <v>115</v>
      </c>
      <c r="H47">
        <f t="shared" ca="1" si="1"/>
        <v>8342978</v>
      </c>
    </row>
    <row r="48" spans="1:8">
      <c r="A48" t="str">
        <f t="shared" si="0"/>
        <v>白岩 タン</v>
      </c>
      <c r="B48" t="s">
        <v>124</v>
      </c>
      <c r="C48" t="s">
        <v>120</v>
      </c>
      <c r="D48" t="s">
        <v>116</v>
      </c>
      <c r="E48" t="s">
        <v>116</v>
      </c>
      <c r="H48">
        <f t="shared" ca="1" si="1"/>
        <v>3755615</v>
      </c>
    </row>
    <row r="49" spans="1:8">
      <c r="A49" t="str">
        <f t="shared" si="0"/>
        <v>坂下 仁志</v>
      </c>
      <c r="B49" t="s">
        <v>127</v>
      </c>
      <c r="C49" t="s">
        <v>126</v>
      </c>
      <c r="D49" t="s">
        <v>117</v>
      </c>
      <c r="E49" t="s">
        <v>116</v>
      </c>
      <c r="H49">
        <f t="shared" ca="1" si="1"/>
        <v>7975427</v>
      </c>
    </row>
    <row r="50" spans="1:8">
      <c r="A50" t="str">
        <f t="shared" si="0"/>
        <v>若松 一</v>
      </c>
      <c r="B50" t="s">
        <v>122</v>
      </c>
      <c r="C50" t="s">
        <v>130</v>
      </c>
      <c r="D50" t="s">
        <v>123</v>
      </c>
      <c r="E50" t="s">
        <v>116</v>
      </c>
      <c r="H50">
        <f t="shared" ca="1" si="1"/>
        <v>6164100</v>
      </c>
    </row>
    <row r="51" spans="1:8">
      <c r="A51" t="str">
        <f t="shared" si="0"/>
        <v>白岩 福島子</v>
      </c>
      <c r="B51" t="s">
        <v>124</v>
      </c>
      <c r="C51" t="s">
        <v>129</v>
      </c>
      <c r="E51" t="s">
        <v>123</v>
      </c>
      <c r="H51">
        <f t="shared" ca="1" si="1"/>
        <v>6298496</v>
      </c>
    </row>
    <row r="52" spans="1:8">
      <c r="A52" t="str">
        <f t="shared" si="0"/>
        <v>白岩 キビ</v>
      </c>
      <c r="B52" t="s">
        <v>124</v>
      </c>
      <c r="C52" t="s">
        <v>117</v>
      </c>
      <c r="D52" t="s">
        <v>117</v>
      </c>
      <c r="H52">
        <f t="shared" ca="1" si="1"/>
        <v>614862</v>
      </c>
    </row>
    <row r="53" spans="1:8">
      <c r="A53" t="str">
        <f t="shared" si="0"/>
        <v>若松 花子</v>
      </c>
      <c r="B53" t="s">
        <v>122</v>
      </c>
      <c r="C53" t="s">
        <v>116</v>
      </c>
      <c r="D53" t="s">
        <v>120</v>
      </c>
      <c r="E53" t="s">
        <v>120</v>
      </c>
      <c r="H53">
        <f t="shared" ca="1" si="1"/>
        <v>7436278</v>
      </c>
    </row>
    <row r="54" spans="1:8">
      <c r="A54" t="str">
        <f t="shared" si="0"/>
        <v>湯川 キビ</v>
      </c>
      <c r="B54" t="s">
        <v>132</v>
      </c>
      <c r="C54" t="s">
        <v>117</v>
      </c>
      <c r="D54" t="s">
        <v>115</v>
      </c>
      <c r="E54" t="s">
        <v>123</v>
      </c>
      <c r="H54">
        <f t="shared" ca="1" si="1"/>
        <v>6509705</v>
      </c>
    </row>
    <row r="55" spans="1:8">
      <c r="A55" t="str">
        <f t="shared" si="0"/>
        <v>会津 太郎</v>
      </c>
      <c r="B55" t="s">
        <v>119</v>
      </c>
      <c r="C55" t="s">
        <v>123</v>
      </c>
      <c r="D55" t="s">
        <v>123</v>
      </c>
      <c r="E55" t="s">
        <v>115</v>
      </c>
      <c r="H55">
        <f t="shared" ca="1" si="1"/>
        <v>5670801</v>
      </c>
    </row>
    <row r="56" spans="1:8">
      <c r="A56" t="str">
        <f t="shared" si="0"/>
        <v>湯川 三太夫</v>
      </c>
      <c r="B56" t="s">
        <v>132</v>
      </c>
      <c r="C56" t="s">
        <v>121</v>
      </c>
      <c r="D56" t="s">
        <v>115</v>
      </c>
      <c r="E56" t="s">
        <v>117</v>
      </c>
      <c r="H56">
        <f t="shared" ca="1" si="1"/>
        <v>475728</v>
      </c>
    </row>
    <row r="57" spans="1:8">
      <c r="A57" t="str">
        <f t="shared" si="0"/>
        <v>福島 キビ</v>
      </c>
      <c r="B57" t="s">
        <v>114</v>
      </c>
      <c r="C57" t="s">
        <v>117</v>
      </c>
      <c r="D57" t="s">
        <v>130</v>
      </c>
      <c r="E57" t="s">
        <v>116</v>
      </c>
      <c r="H57">
        <f t="shared" ca="1" si="1"/>
        <v>116236</v>
      </c>
    </row>
    <row r="58" spans="1:8">
      <c r="A58" t="str">
        <f t="shared" si="0"/>
        <v>白岩 一</v>
      </c>
      <c r="B58" t="s">
        <v>124</v>
      </c>
      <c r="C58" t="s">
        <v>130</v>
      </c>
      <c r="D58" t="s">
        <v>115</v>
      </c>
      <c r="E58" t="s">
        <v>118</v>
      </c>
      <c r="H58">
        <f t="shared" ca="1" si="1"/>
        <v>1523310</v>
      </c>
    </row>
    <row r="59" spans="1:8">
      <c r="A59" t="str">
        <f t="shared" si="0"/>
        <v>坂下 花子</v>
      </c>
      <c r="B59" t="s">
        <v>127</v>
      </c>
      <c r="C59" t="s">
        <v>116</v>
      </c>
      <c r="D59" t="s">
        <v>116</v>
      </c>
      <c r="E59" t="s">
        <v>121</v>
      </c>
      <c r="H59">
        <f t="shared" ca="1" si="1"/>
        <v>2007184</v>
      </c>
    </row>
    <row r="60" spans="1:8">
      <c r="A60" t="str">
        <f t="shared" si="0"/>
        <v>坂下 太郎</v>
      </c>
      <c r="B60" t="s">
        <v>127</v>
      </c>
      <c r="C60" t="s">
        <v>123</v>
      </c>
      <c r="D60" t="s">
        <v>123</v>
      </c>
      <c r="E60" t="s">
        <v>116</v>
      </c>
      <c r="H60">
        <f t="shared" ca="1" si="1"/>
        <v>7747092</v>
      </c>
    </row>
    <row r="61" spans="1:8">
      <c r="A61" t="str">
        <f t="shared" si="0"/>
        <v>白岩 花子</v>
      </c>
      <c r="B61" t="s">
        <v>124</v>
      </c>
      <c r="C61" t="s">
        <v>116</v>
      </c>
      <c r="D61" t="s">
        <v>121</v>
      </c>
      <c r="E61" t="s">
        <v>129</v>
      </c>
      <c r="H61">
        <f t="shared" ca="1" si="1"/>
        <v>363467</v>
      </c>
    </row>
    <row r="62" spans="1:8">
      <c r="A62" t="str">
        <f t="shared" si="0"/>
        <v>五十嵐 太郎</v>
      </c>
      <c r="B62" t="s">
        <v>131</v>
      </c>
      <c r="C62" t="s">
        <v>123</v>
      </c>
      <c r="D62" t="s">
        <v>116</v>
      </c>
      <c r="E62" t="s">
        <v>130</v>
      </c>
      <c r="H62">
        <f t="shared" ca="1" si="1"/>
        <v>4681745</v>
      </c>
    </row>
    <row r="63" spans="1:8">
      <c r="A63" t="str">
        <f t="shared" si="0"/>
        <v>坂下 キビ子</v>
      </c>
      <c r="B63" t="s">
        <v>127</v>
      </c>
      <c r="C63" t="s">
        <v>115</v>
      </c>
      <c r="D63" t="s">
        <v>118</v>
      </c>
      <c r="E63" t="s">
        <v>129</v>
      </c>
      <c r="H63">
        <f t="shared" ca="1" si="1"/>
        <v>2955586</v>
      </c>
    </row>
    <row r="64" spans="1:8">
      <c r="A64" t="str">
        <f t="shared" si="0"/>
        <v>白岩 一</v>
      </c>
      <c r="B64" t="s">
        <v>124</v>
      </c>
      <c r="C64" t="s">
        <v>130</v>
      </c>
      <c r="D64" t="s">
        <v>116</v>
      </c>
      <c r="H64">
        <f t="shared" ca="1" si="1"/>
        <v>8702559</v>
      </c>
    </row>
    <row r="65" spans="1:8">
      <c r="A65" t="str">
        <f t="shared" si="0"/>
        <v>坂下 佑太</v>
      </c>
      <c r="B65" t="s">
        <v>127</v>
      </c>
      <c r="C65" t="s">
        <v>118</v>
      </c>
      <c r="D65" t="s">
        <v>121</v>
      </c>
      <c r="E65" t="s">
        <v>126</v>
      </c>
      <c r="H65">
        <f t="shared" ca="1" si="1"/>
        <v>2401272</v>
      </c>
    </row>
    <row r="66" spans="1:8">
      <c r="A66" t="str">
        <f t="shared" si="0"/>
        <v>若松 キビ子</v>
      </c>
      <c r="B66" t="s">
        <v>122</v>
      </c>
      <c r="C66" t="s">
        <v>115</v>
      </c>
      <c r="D66" t="s">
        <v>118</v>
      </c>
      <c r="E66" t="s">
        <v>116</v>
      </c>
      <c r="H66">
        <f t="shared" ca="1" si="1"/>
        <v>413023</v>
      </c>
    </row>
    <row r="67" spans="1:8">
      <c r="A67" t="str">
        <f t="shared" ref="A67:A89" si="2">CONCATENATE(B67," ",C67)</f>
        <v>佐々木 太郎</v>
      </c>
      <c r="B67" t="s">
        <v>125</v>
      </c>
      <c r="C67" t="s">
        <v>123</v>
      </c>
      <c r="D67" t="s">
        <v>129</v>
      </c>
      <c r="E67" t="s">
        <v>123</v>
      </c>
      <c r="H67">
        <f t="shared" ref="H67:H89" ca="1" si="3">RANDBETWEEN(555,9999999)</f>
        <v>6822169</v>
      </c>
    </row>
    <row r="68" spans="1:8">
      <c r="A68" t="str">
        <f t="shared" si="2"/>
        <v>白岩 三太夫</v>
      </c>
      <c r="B68" t="s">
        <v>124</v>
      </c>
      <c r="C68" t="s">
        <v>121</v>
      </c>
      <c r="D68" t="s">
        <v>129</v>
      </c>
      <c r="E68" t="s">
        <v>118</v>
      </c>
      <c r="H68">
        <f t="shared" ca="1" si="3"/>
        <v>6218647</v>
      </c>
    </row>
    <row r="69" spans="1:8">
      <c r="A69" t="str">
        <f t="shared" si="2"/>
        <v>喜多方 タン</v>
      </c>
      <c r="B69" t="s">
        <v>128</v>
      </c>
      <c r="C69" t="s">
        <v>120</v>
      </c>
      <c r="D69" t="s">
        <v>116</v>
      </c>
      <c r="E69" t="s">
        <v>118</v>
      </c>
      <c r="H69">
        <f t="shared" ca="1" si="3"/>
        <v>1510082</v>
      </c>
    </row>
    <row r="70" spans="1:8">
      <c r="A70" t="str">
        <f t="shared" si="2"/>
        <v>白岩 タン</v>
      </c>
      <c r="B70" t="s">
        <v>124</v>
      </c>
      <c r="C70" t="s">
        <v>120</v>
      </c>
      <c r="E70" t="s">
        <v>116</v>
      </c>
      <c r="H70">
        <f t="shared" ca="1" si="3"/>
        <v>6884530</v>
      </c>
    </row>
    <row r="71" spans="1:8">
      <c r="A71" t="str">
        <f t="shared" si="2"/>
        <v>若松 一</v>
      </c>
      <c r="B71" t="s">
        <v>122</v>
      </c>
      <c r="C71" t="s">
        <v>130</v>
      </c>
      <c r="D71" t="s">
        <v>129</v>
      </c>
      <c r="E71" t="s">
        <v>121</v>
      </c>
      <c r="H71">
        <f t="shared" ca="1" si="3"/>
        <v>2271940</v>
      </c>
    </row>
    <row r="72" spans="1:8">
      <c r="A72" t="str">
        <f t="shared" si="2"/>
        <v>佐々木 仁志</v>
      </c>
      <c r="B72" t="s">
        <v>125</v>
      </c>
      <c r="C72" t="s">
        <v>126</v>
      </c>
      <c r="D72" t="s">
        <v>116</v>
      </c>
      <c r="E72" t="s">
        <v>129</v>
      </c>
      <c r="H72">
        <f t="shared" ca="1" si="3"/>
        <v>544382</v>
      </c>
    </row>
    <row r="73" spans="1:8">
      <c r="A73" t="str">
        <f t="shared" si="2"/>
        <v>湯川 花子</v>
      </c>
      <c r="B73" t="s">
        <v>132</v>
      </c>
      <c r="C73" t="s">
        <v>116</v>
      </c>
      <c r="D73" t="s">
        <v>116</v>
      </c>
      <c r="E73" t="s">
        <v>118</v>
      </c>
      <c r="H73">
        <f t="shared" ca="1" si="3"/>
        <v>4425922</v>
      </c>
    </row>
    <row r="74" spans="1:8">
      <c r="A74" t="str">
        <f t="shared" si="2"/>
        <v>湯川 仁志</v>
      </c>
      <c r="B74" t="s">
        <v>132</v>
      </c>
      <c r="C74" t="s">
        <v>126</v>
      </c>
      <c r="D74" t="s">
        <v>123</v>
      </c>
      <c r="E74" t="s">
        <v>116</v>
      </c>
      <c r="H74">
        <f t="shared" ca="1" si="3"/>
        <v>3540747</v>
      </c>
    </row>
    <row r="75" spans="1:8">
      <c r="A75" t="str">
        <f t="shared" si="2"/>
        <v>若松 佑太</v>
      </c>
      <c r="B75" t="s">
        <v>122</v>
      </c>
      <c r="C75" t="s">
        <v>118</v>
      </c>
      <c r="D75" t="s">
        <v>115</v>
      </c>
      <c r="E75" t="s">
        <v>126</v>
      </c>
      <c r="H75">
        <f t="shared" ca="1" si="3"/>
        <v>4217382</v>
      </c>
    </row>
    <row r="76" spans="1:8">
      <c r="A76" t="str">
        <f t="shared" si="2"/>
        <v>国 花子</v>
      </c>
      <c r="B76" t="s">
        <v>133</v>
      </c>
      <c r="C76" t="s">
        <v>116</v>
      </c>
      <c r="D76" t="s">
        <v>129</v>
      </c>
      <c r="E76" t="s">
        <v>129</v>
      </c>
      <c r="H76">
        <f t="shared" ca="1" si="3"/>
        <v>500101</v>
      </c>
    </row>
    <row r="77" spans="1:8">
      <c r="A77" t="str">
        <f t="shared" si="2"/>
        <v>五十嵐 キビ</v>
      </c>
      <c r="B77" t="s">
        <v>131</v>
      </c>
      <c r="C77" t="s">
        <v>117</v>
      </c>
      <c r="D77" t="s">
        <v>123</v>
      </c>
      <c r="E77" t="s">
        <v>115</v>
      </c>
      <c r="H77">
        <f t="shared" ca="1" si="3"/>
        <v>5997105</v>
      </c>
    </row>
    <row r="78" spans="1:8">
      <c r="A78" t="str">
        <f t="shared" si="2"/>
        <v>白岩 福島子</v>
      </c>
      <c r="B78" t="s">
        <v>124</v>
      </c>
      <c r="C78" t="s">
        <v>129</v>
      </c>
      <c r="E78" t="s">
        <v>116</v>
      </c>
      <c r="H78">
        <f t="shared" ca="1" si="3"/>
        <v>3205658</v>
      </c>
    </row>
    <row r="79" spans="1:8">
      <c r="A79" t="str">
        <f t="shared" si="2"/>
        <v>会津 一</v>
      </c>
      <c r="B79" t="s">
        <v>119</v>
      </c>
      <c r="C79" t="s">
        <v>130</v>
      </c>
      <c r="D79" t="s">
        <v>123</v>
      </c>
      <c r="E79" t="s">
        <v>116</v>
      </c>
      <c r="H79">
        <f t="shared" ca="1" si="3"/>
        <v>2701245</v>
      </c>
    </row>
    <row r="80" spans="1:8">
      <c r="A80" t="str">
        <f t="shared" si="2"/>
        <v>会津 タン</v>
      </c>
      <c r="B80" t="s">
        <v>119</v>
      </c>
      <c r="C80" t="s">
        <v>120</v>
      </c>
      <c r="D80" t="s">
        <v>126</v>
      </c>
      <c r="E80" t="s">
        <v>129</v>
      </c>
      <c r="H80">
        <f t="shared" ca="1" si="3"/>
        <v>3853773</v>
      </c>
    </row>
    <row r="81" spans="1:8">
      <c r="A81" t="str">
        <f t="shared" si="2"/>
        <v>坂下 佑太</v>
      </c>
      <c r="B81" t="s">
        <v>127</v>
      </c>
      <c r="C81" t="s">
        <v>118</v>
      </c>
      <c r="D81" t="s">
        <v>118</v>
      </c>
      <c r="E81" t="s">
        <v>123</v>
      </c>
      <c r="H81">
        <f t="shared" ca="1" si="3"/>
        <v>4649143</v>
      </c>
    </row>
    <row r="82" spans="1:8">
      <c r="A82" t="str">
        <f t="shared" si="2"/>
        <v>五十嵐 花子</v>
      </c>
      <c r="B82" t="s">
        <v>131</v>
      </c>
      <c r="C82" t="s">
        <v>116</v>
      </c>
      <c r="D82" t="s">
        <v>117</v>
      </c>
      <c r="E82" t="s">
        <v>120</v>
      </c>
      <c r="H82">
        <f t="shared" ca="1" si="3"/>
        <v>4271665</v>
      </c>
    </row>
    <row r="83" spans="1:8">
      <c r="A83" t="str">
        <f t="shared" si="2"/>
        <v>湯川 キビ</v>
      </c>
      <c r="B83" t="s">
        <v>132</v>
      </c>
      <c r="C83" t="s">
        <v>117</v>
      </c>
      <c r="D83" t="s">
        <v>123</v>
      </c>
      <c r="E83" t="s">
        <v>116</v>
      </c>
      <c r="H83">
        <f t="shared" ca="1" si="3"/>
        <v>2949894</v>
      </c>
    </row>
    <row r="84" spans="1:8">
      <c r="A84" t="str">
        <f t="shared" si="2"/>
        <v>会津 一</v>
      </c>
      <c r="B84" t="s">
        <v>119</v>
      </c>
      <c r="C84" t="s">
        <v>130</v>
      </c>
      <c r="D84" t="s">
        <v>118</v>
      </c>
      <c r="E84" t="s">
        <v>120</v>
      </c>
      <c r="H84">
        <f t="shared" ca="1" si="3"/>
        <v>1698279</v>
      </c>
    </row>
    <row r="85" spans="1:8">
      <c r="A85" t="str">
        <f t="shared" si="2"/>
        <v>国 佑太</v>
      </c>
      <c r="B85" t="s">
        <v>133</v>
      </c>
      <c r="C85" t="s">
        <v>118</v>
      </c>
      <c r="D85" t="s">
        <v>126</v>
      </c>
      <c r="E85" t="s">
        <v>129</v>
      </c>
      <c r="H85">
        <f t="shared" ca="1" si="3"/>
        <v>890727</v>
      </c>
    </row>
    <row r="86" spans="1:8">
      <c r="A86" t="str">
        <f t="shared" si="2"/>
        <v>佐々木 三太夫</v>
      </c>
      <c r="B86" t="s">
        <v>125</v>
      </c>
      <c r="C86" t="s">
        <v>121</v>
      </c>
      <c r="D86" t="s">
        <v>117</v>
      </c>
      <c r="E86" t="s">
        <v>130</v>
      </c>
      <c r="H86">
        <f t="shared" ca="1" si="3"/>
        <v>6781304</v>
      </c>
    </row>
    <row r="87" spans="1:8">
      <c r="A87" t="str">
        <f t="shared" si="2"/>
        <v>白岩 タン</v>
      </c>
      <c r="B87" t="s">
        <v>124</v>
      </c>
      <c r="C87" t="s">
        <v>120</v>
      </c>
      <c r="D87" t="s">
        <v>130</v>
      </c>
      <c r="E87" t="s">
        <v>115</v>
      </c>
      <c r="H87">
        <f t="shared" ca="1" si="3"/>
        <v>8703083</v>
      </c>
    </row>
    <row r="88" spans="1:8">
      <c r="A88" t="str">
        <f t="shared" si="2"/>
        <v>喜多方 佑太</v>
      </c>
      <c r="B88" t="s">
        <v>128</v>
      </c>
      <c r="C88" t="s">
        <v>118</v>
      </c>
      <c r="D88" t="s">
        <v>115</v>
      </c>
      <c r="E88" t="s">
        <v>123</v>
      </c>
      <c r="H88">
        <f t="shared" ca="1" si="3"/>
        <v>2935849</v>
      </c>
    </row>
    <row r="89" spans="1:8">
      <c r="A89" t="str">
        <f t="shared" si="2"/>
        <v>若松 仁志</v>
      </c>
      <c r="B89" t="s">
        <v>122</v>
      </c>
      <c r="C89" t="s">
        <v>126</v>
      </c>
      <c r="D89" t="s">
        <v>130</v>
      </c>
      <c r="H89">
        <f t="shared" ca="1" si="3"/>
        <v>9598142</v>
      </c>
    </row>
  </sheetData>
  <autoFilter ref="B1:K89" xr:uid="{00000000-0009-0000-0000-000003000000}"/>
  <phoneticPr fontId="2" type="halfwidthKatakana" alignment="center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笈川</vt:lpstr>
      <vt:lpstr>勝常</vt:lpstr>
      <vt:lpstr>湯川中</vt:lpstr>
      <vt:lpstr>マクロ</vt:lpstr>
      <vt:lpstr>東邦銀行_支店情報</vt:lpstr>
      <vt:lpstr>JAよつば_支店情報</vt:lpstr>
      <vt:lpstr>ダミー作成用</vt:lpstr>
      <vt:lpstr>勝常!Print_Area</vt:lpstr>
      <vt:lpstr>湯川中!Print_Area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髙木類</dc:creator>
  <cp:lastModifiedBy>復興支援・地域連携室 福島県会津地方振興局</cp:lastModifiedBy>
  <cp:lastPrinted>2022-05-27T11:25:30Z</cp:lastPrinted>
  <dcterms:created xsi:type="dcterms:W3CDTF">2018-05-21T02:25:40Z</dcterms:created>
  <dcterms:modified xsi:type="dcterms:W3CDTF">2024-06-04T08:58:11Z</dcterms:modified>
</cp:coreProperties>
</file>